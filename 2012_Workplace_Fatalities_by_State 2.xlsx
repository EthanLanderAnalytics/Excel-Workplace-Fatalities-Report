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46\EXCELCNV\50d256f1-84ee-4e65-81fe-841eb31a4e33\"/>
    </mc:Choice>
  </mc:AlternateContent>
  <xr:revisionPtr revIDLastSave="0" documentId="8_{FAA4C46D-8942-4BD0-8DBF-EB14260483A9}" xr6:coauthVersionLast="47" xr6:coauthVersionMax="47" xr10:uidLastSave="{00000000-0000-0000-0000-000000000000}"/>
  <bookViews>
    <workbookView xWindow="-60" yWindow="-60" windowWidth="15480" windowHeight="11640" xr2:uid="{C8808A7B-B2CB-44BD-A604-3E0FD2D6877C}"/>
  </bookViews>
  <sheets>
    <sheet name="Raw data set" sheetId="1" r:id="rId1"/>
    <sheet name="Rate of Fatalities histogram" sheetId="7" r:id="rId2"/>
    <sheet name="Pivot_InspectionVsFatality" sheetId="6" r:id="rId3"/>
    <sheet name="Pivot_StateInsights" sheetId="5" r:id="rId4"/>
    <sheet name="Pivot_ProgramComparison" sheetId="4" r:id="rId5"/>
  </sheets>
  <definedNames>
    <definedName name="_xlchart.v1.0" hidden="1">'Raw data set'!$D$1</definedName>
    <definedName name="_xlchart.v1.1" hidden="1">'Raw data set'!$D$2:$D$55</definedName>
    <definedName name="Slicer_State_or_Federal_Program">#N/A</definedName>
  </definedNames>
  <calcPr calcId="191028"/>
  <pivotCaches>
    <pivotCache cacheId="439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3" i="6" a="1"/>
  <c r="E3" i="6"/>
  <c r="B16" i="1"/>
  <c r="B38" i="1"/>
  <c r="B35" i="1"/>
  <c r="B26" i="1"/>
  <c r="B47" i="1"/>
  <c r="B19" i="1"/>
  <c r="B11" i="1"/>
  <c r="B15" i="1"/>
  <c r="B30" i="1"/>
  <c r="B33" i="1"/>
  <c r="B36" i="1"/>
  <c r="B34" i="1"/>
  <c r="B45" i="1"/>
  <c r="B42" i="1"/>
  <c r="B41" i="1"/>
  <c r="B3" i="1"/>
  <c r="B17" i="1"/>
  <c r="B49" i="1"/>
  <c r="B4" i="1"/>
  <c r="B48" i="1"/>
  <c r="B21" i="1"/>
  <c r="B18" i="1"/>
  <c r="B14" i="1"/>
  <c r="B13" i="1"/>
  <c r="B20" i="1"/>
  <c r="B23" i="1"/>
  <c r="B31" i="1"/>
  <c r="B32" i="1"/>
  <c r="B27" i="1"/>
  <c r="B29" i="1"/>
  <c r="B28" i="1"/>
  <c r="B5" i="1"/>
  <c r="B46" i="1"/>
  <c r="B10" i="1"/>
  <c r="B37" i="1"/>
  <c r="B24" i="1"/>
  <c r="B6" i="1"/>
  <c r="B44" i="1"/>
  <c r="B39" i="1"/>
  <c r="B7" i="1"/>
  <c r="B22" i="1"/>
  <c r="B40" i="1"/>
  <c r="B8" i="1"/>
  <c r="B12" i="1"/>
  <c r="B43" i="1"/>
  <c r="B9" i="1"/>
  <c r="B50" i="1"/>
  <c r="B51" i="1"/>
  <c r="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<sst xmlns="http://schemas.openxmlformats.org/spreadsheetml/2006/main" count="200" uniqueCount="120">
  <si>
    <t>State</t>
  </si>
  <si>
    <t>State, without coordinates</t>
  </si>
  <si>
    <t>Number of Fatalities, 2012</t>
  </si>
  <si>
    <t>Rate of Fatalities, 2012</t>
  </si>
  <si>
    <t>State Rank, Fatalities 2012</t>
  </si>
  <si>
    <t>Number of Injuries/Illnesses 2012</t>
  </si>
  <si>
    <t>Injuries/Illnesses 2012 Rate</t>
  </si>
  <si>
    <t>Penalties FY 2013 (Average $)</t>
  </si>
  <si>
    <t>Penalties FY 2013 (Rank)</t>
  </si>
  <si>
    <t>Inspectors</t>
  </si>
  <si>
    <t>Years to Inspect Each Workplace Once</t>
  </si>
  <si>
    <t>State or Federal Program</t>
  </si>
  <si>
    <t>Florida
(28.932042899000464, -81.92895558499964)</t>
  </si>
  <si>
    <t>Federal</t>
  </si>
  <si>
    <t>New Hampshire
(43.6559537330005, -71.50035726399966)</t>
  </si>
  <si>
    <t>South Dakota
(44.35313342000046, -100.37352811899967)</t>
  </si>
  <si>
    <t>Colorado
(38.84384047000049, -106.13360888799969)</t>
  </si>
  <si>
    <t>Idaho
(43.682630058000484, -114.3637261449997)</t>
  </si>
  <si>
    <t>Mississippi
(32.74551123200047, -89.53802764499966)</t>
  </si>
  <si>
    <t>Rhode Island
(41.70828281900049, -71.52246918099962)</t>
  </si>
  <si>
    <t>North Dakota
(47.47531738700047, -100.11842599699969)</t>
  </si>
  <si>
    <t>Wyoming
(43.23554147100049, -108.10982744299969)</t>
  </si>
  <si>
    <t>Delaware
(39.00883351400046, -75.57773943699965)</t>
  </si>
  <si>
    <t>Alaska
(64.84507923900048, -147.72205669099972)</t>
  </si>
  <si>
    <t>Vermont
(43.62538292400046, -72.51763944499965)</t>
  </si>
  <si>
    <t>Montana
(47.066526051000494, -109.42441687999968)</t>
  </si>
  <si>
    <t>Hawaii
(21.30485166200043, -157.85774691599974)</t>
  </si>
  <si>
    <t>West Virginia
(38.665511497000466, -80.71263935099967)</t>
  </si>
  <si>
    <t>New Mexico
(34.52088247800049, -106.24057768899968)</t>
  </si>
  <si>
    <t>Maine
(45.254228663000504, -68.98502952999962)</t>
  </si>
  <si>
    <t>Nebraska
(41.64104043900045, -99.36571864599966)</t>
  </si>
  <si>
    <t>Arkansas
(34.748651751000466, -92.27448794899965)</t>
  </si>
  <si>
    <t>Utah
(39.36070374600047, -111.5871285339997)</t>
  </si>
  <si>
    <t>Louisiana
(31.312662564000448, -92.44567554599968)</t>
  </si>
  <si>
    <t>Nevada
(39.49324126500045, -117.07183978499972)</t>
  </si>
  <si>
    <t>Kansas
(38.34774033400049, -98.20077655499966)</t>
  </si>
  <si>
    <t>South Carolina
(33.99882060100049, -81.04536765699964)</t>
  </si>
  <si>
    <t>Oklahoma
(35.472034350000456, -97.52106845499969)</t>
  </si>
  <si>
    <t>Alabama
(32.84057327200048, -86.63185803899967)</t>
  </si>
  <si>
    <t>Oregon
(44.567446178000466, -120.15502977999972)</t>
  </si>
  <si>
    <t>Connecticut
(41.56266394200048, -72.64983753699966)</t>
  </si>
  <si>
    <t>Iowa
(42.469404401000475, -93.81648936699969)</t>
  </si>
  <si>
    <t>Kentucky
(37.645973909000475, -84.77496612599964)</t>
  </si>
  <si>
    <t>Maryland
(39.2905806980005, -76.60925970899967)</t>
  </si>
  <si>
    <t>Arizona
(34.865973091000455, -111.76380949799972)</t>
  </si>
  <si>
    <t>Missouri
(38.63579372300046, -92.56629737199967)</t>
  </si>
  <si>
    <t>Tennessee
(35.680943063000484, -85.77448642199965)</t>
  </si>
  <si>
    <t>Virginia
(37.54268075100049, -78.45788924199968)</t>
  </si>
  <si>
    <t>Minnesota
(46.35564867700049, -94.79419697699967)</t>
  </si>
  <si>
    <t>Massachusetts
(42.27687306500047, -72.08268985899963)</t>
  </si>
  <si>
    <t>Wisconsin
(44.3931903350005, -89.81636715299965)</t>
  </si>
  <si>
    <t>Georgia
(32.83968004200045, -83.62757601199968)</t>
  </si>
  <si>
    <t>North Carolina
(35.46622388600048, -79.15924924699965)</t>
  </si>
  <si>
    <t>Indiana
(39.76691364600049, -86.14995579899966)</t>
  </si>
  <si>
    <t>New Jersey
(40.1305700530005, -74.27368565099965)</t>
  </si>
  <si>
    <t>Washington
(47.522287905000496, -120.47002746299972)</t>
  </si>
  <si>
    <t>Michigan
(44.66131575600048, -84.71438724399968)</t>
  </si>
  <si>
    <t>Ohio
(40.06021029700048, -82.40425685299965)</t>
  </si>
  <si>
    <t>Illinois
(40.48501278700047, -88.99770813999965)</t>
  </si>
  <si>
    <t>New York
(42.82700023900048, -75.54396639699968)</t>
  </si>
  <si>
    <t>Pennsylvania
(40.79373106100047, -77.86069775999965)</t>
  </si>
  <si>
    <t>Texas
(31.827243635000457, -99.4267664729997)</t>
  </si>
  <si>
    <t>California
(37.638640488000476, -120.99999889499969)</t>
  </si>
  <si>
    <t>Total or National, Average</t>
  </si>
  <si>
    <t>Average of Years to Inspect Each Workplace Once</t>
  </si>
  <si>
    <t>Average of Rate of Fatalities, 2012</t>
  </si>
  <si>
    <t xml:space="preserve">Oregon
</t>
  </si>
  <si>
    <t xml:space="preserve">Michigan
</t>
  </si>
  <si>
    <t xml:space="preserve">Nevada
</t>
  </si>
  <si>
    <t xml:space="preserve">Washington
</t>
  </si>
  <si>
    <t xml:space="preserve">Minnesota
</t>
  </si>
  <si>
    <t xml:space="preserve">Alaska
</t>
  </si>
  <si>
    <t xml:space="preserve">North Carolina
</t>
  </si>
  <si>
    <t xml:space="preserve">Vermont
</t>
  </si>
  <si>
    <t xml:space="preserve">Hawaii
</t>
  </si>
  <si>
    <t xml:space="preserve">Maine
</t>
  </si>
  <si>
    <t xml:space="preserve">Utah
</t>
  </si>
  <si>
    <t xml:space="preserve">Tennessee
</t>
  </si>
  <si>
    <t xml:space="preserve">Virginia
</t>
  </si>
  <si>
    <t xml:space="preserve">Alabama
</t>
  </si>
  <si>
    <t xml:space="preserve">Iowa
</t>
  </si>
  <si>
    <t xml:space="preserve">Wyoming
</t>
  </si>
  <si>
    <t xml:space="preserve">Rhode Island
</t>
  </si>
  <si>
    <t xml:space="preserve">Wisconsin
</t>
  </si>
  <si>
    <t xml:space="preserve">Indiana
</t>
  </si>
  <si>
    <t xml:space="preserve">Connecticut
</t>
  </si>
  <si>
    <t xml:space="preserve">Idaho
</t>
  </si>
  <si>
    <t xml:space="preserve">Maryland
</t>
  </si>
  <si>
    <t xml:space="preserve">Kansas
</t>
  </si>
  <si>
    <t xml:space="preserve">South Carolina
</t>
  </si>
  <si>
    <t xml:space="preserve">North Dakota
</t>
  </si>
  <si>
    <t xml:space="preserve">Mississippi
</t>
  </si>
  <si>
    <t>There does not appear to be a clear relationship between the two variables here. And the outliers were either: high inspection years, low to medium fatality rate, or low inspection years but very high  fatality rate. So there's nothing to indicate there is a real relationship between years to inspect and fatality rate. This indicates that other factors, such as industry type, state regulations, or enforcement practices, may play a larger role in influencing workplace safety outcomes.</t>
  </si>
  <si>
    <t xml:space="preserve">Ohio
</t>
  </si>
  <si>
    <t xml:space="preserve">Missouri
</t>
  </si>
  <si>
    <t xml:space="preserve">New Hampshire
</t>
  </si>
  <si>
    <t xml:space="preserve">Colorado
</t>
  </si>
  <si>
    <t xml:space="preserve">Massachusetts
</t>
  </si>
  <si>
    <t xml:space="preserve">New Jersey
</t>
  </si>
  <si>
    <t xml:space="preserve">Kentucky
</t>
  </si>
  <si>
    <t xml:space="preserve">Pennsylvania
</t>
  </si>
  <si>
    <t xml:space="preserve">Arizona
</t>
  </si>
  <si>
    <t xml:space="preserve">Nebraska
</t>
  </si>
  <si>
    <t xml:space="preserve">Oklahoma
</t>
  </si>
  <si>
    <t xml:space="preserve">Montana
</t>
  </si>
  <si>
    <t xml:space="preserve">Texas
</t>
  </si>
  <si>
    <t xml:space="preserve">Illinois
</t>
  </si>
  <si>
    <t xml:space="preserve">Georgia
</t>
  </si>
  <si>
    <t xml:space="preserve">West Virginia
</t>
  </si>
  <si>
    <t xml:space="preserve">Delaware
</t>
  </si>
  <si>
    <t xml:space="preserve">California
</t>
  </si>
  <si>
    <t xml:space="preserve">New York
</t>
  </si>
  <si>
    <t xml:space="preserve">New Mexico
</t>
  </si>
  <si>
    <t xml:space="preserve">Louisiana
</t>
  </si>
  <si>
    <t xml:space="preserve">Arkansas
</t>
  </si>
  <si>
    <t xml:space="preserve">Florida
</t>
  </si>
  <si>
    <t xml:space="preserve">South Dakota
</t>
  </si>
  <si>
    <t>Grand Total</t>
  </si>
  <si>
    <t>Sum of Number of Injuries/Illnesses 2012</t>
  </si>
  <si>
    <t xml:space="preserve">The highest number of injuries / illnesses in a state with a state program, was California.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</si>
</sst>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/>
    <xf numFmtId="0" fontId="0" fillId="0" borderId="0" xfId="0" applyFont="1" applyAlignment="1"/>
    <xf numFmtId="0" fontId="0" fillId="0" borderId="0" xfId="0" applyFont="1"/>
    <xf numFmtId="0" fontId="0" fillId="0" borderId="0" xfId="0" pivotButton="1"/>
    <xf numFmtId="0" fontId="0" fillId="0" borderId="0" xfId="0" applyNumberFormat="1"/>
    <xf numFmtId="164" fontId="0" fillId="0" borderId="0" xfId="0" applyNumberFormat="1" applyFont="1" applyAlignment="1"/>
    <xf numFmtId="164" fontId="0" fillId="0" borderId="0" xfId="0" applyNumberFormat="1" applyAlignment="1"/>
    <xf numFmtId="4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164" formatCode="&quot;$&quot;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 set'!$K$1</c:f>
              <c:strCache>
                <c:ptCount val="1"/>
                <c:pt idx="0">
                  <c:v>Years to Inspect Each Workplace Once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'Raw data set'!$D$2:$D$55</c:f>
              <c:numCache>
                <c:formatCode>General</c:formatCode>
                <c:ptCount val="54"/>
                <c:pt idx="0">
                  <c:v>2.7</c:v>
                </c:pt>
                <c:pt idx="1">
                  <c:v>2.2000000000000002</c:v>
                </c:pt>
                <c:pt idx="2">
                  <c:v>6.7</c:v>
                </c:pt>
                <c:pt idx="3">
                  <c:v>3.5</c:v>
                </c:pt>
                <c:pt idx="4">
                  <c:v>2.7</c:v>
                </c:pt>
                <c:pt idx="5">
                  <c:v>5.5</c:v>
                </c:pt>
                <c:pt idx="6">
                  <c:v>1.7</c:v>
                </c:pt>
                <c:pt idx="7">
                  <c:v>17.7</c:v>
                </c:pt>
                <c:pt idx="8">
                  <c:v>12.2</c:v>
                </c:pt>
                <c:pt idx="9">
                  <c:v>3.1</c:v>
                </c:pt>
                <c:pt idx="10">
                  <c:v>8.9</c:v>
                </c:pt>
                <c:pt idx="11">
                  <c:v>3.5</c:v>
                </c:pt>
                <c:pt idx="12">
                  <c:v>7.3</c:v>
                </c:pt>
                <c:pt idx="13">
                  <c:v>3.4</c:v>
                </c:pt>
                <c:pt idx="14">
                  <c:v>6.9</c:v>
                </c:pt>
                <c:pt idx="15">
                  <c:v>4.8</c:v>
                </c:pt>
                <c:pt idx="16">
                  <c:v>3.2</c:v>
                </c:pt>
                <c:pt idx="17">
                  <c:v>5.2</c:v>
                </c:pt>
                <c:pt idx="18">
                  <c:v>5.4</c:v>
                </c:pt>
                <c:pt idx="19">
                  <c:v>3</c:v>
                </c:pt>
                <c:pt idx="20">
                  <c:v>6.4</c:v>
                </c:pt>
                <c:pt idx="21">
                  <c:v>3.6</c:v>
                </c:pt>
                <c:pt idx="22">
                  <c:v>5.7</c:v>
                </c:pt>
                <c:pt idx="23">
                  <c:v>3.5</c:v>
                </c:pt>
                <c:pt idx="24">
                  <c:v>6.1</c:v>
                </c:pt>
                <c:pt idx="25">
                  <c:v>4.3</c:v>
                </c:pt>
                <c:pt idx="26">
                  <c:v>2.6</c:v>
                </c:pt>
                <c:pt idx="27">
                  <c:v>2.1</c:v>
                </c:pt>
                <c:pt idx="28">
                  <c:v>6.6</c:v>
                </c:pt>
                <c:pt idx="29">
                  <c:v>4.9000000000000004</c:v>
                </c:pt>
                <c:pt idx="30">
                  <c:v>2.6</c:v>
                </c:pt>
                <c:pt idx="31">
                  <c:v>2.2999999999999998</c:v>
                </c:pt>
                <c:pt idx="32">
                  <c:v>3.3</c:v>
                </c:pt>
                <c:pt idx="33">
                  <c:v>3.8</c:v>
                </c:pt>
                <c:pt idx="34">
                  <c:v>3.8</c:v>
                </c:pt>
                <c:pt idx="35">
                  <c:v>2.6</c:v>
                </c:pt>
                <c:pt idx="36">
                  <c:v>1.4</c:v>
                </c:pt>
                <c:pt idx="37">
                  <c:v>4</c:v>
                </c:pt>
                <c:pt idx="38">
                  <c:v>2.5</c:v>
                </c:pt>
                <c:pt idx="39">
                  <c:v>3.5</c:v>
                </c:pt>
                <c:pt idx="40">
                  <c:v>4.2</c:v>
                </c:pt>
                <c:pt idx="41">
                  <c:v>2.4</c:v>
                </c:pt>
                <c:pt idx="42">
                  <c:v>2.2000000000000002</c:v>
                </c:pt>
                <c:pt idx="43">
                  <c:v>3.4</c:v>
                </c:pt>
                <c:pt idx="44">
                  <c:v>3.1</c:v>
                </c:pt>
                <c:pt idx="45">
                  <c:v>2.5</c:v>
                </c:pt>
                <c:pt idx="46">
                  <c:v>2.4</c:v>
                </c:pt>
                <c:pt idx="47">
                  <c:v>3.4</c:v>
                </c:pt>
                <c:pt idx="48">
                  <c:v>4.8</c:v>
                </c:pt>
                <c:pt idx="49">
                  <c:v>2.2999999999999998</c:v>
                </c:pt>
                <c:pt idx="53">
                  <c:v>3.4</c:v>
                </c:pt>
              </c:numCache>
            </c:numRef>
          </c:xVal>
          <c:yVal>
            <c:numRef>
              <c:f>'Raw data set'!$K$2:$K$55</c:f>
              <c:numCache>
                <c:formatCode>General</c:formatCode>
                <c:ptCount val="54"/>
                <c:pt idx="0">
                  <c:v>238</c:v>
                </c:pt>
                <c:pt idx="1">
                  <c:v>119</c:v>
                </c:pt>
                <c:pt idx="2">
                  <c:v>521</c:v>
                </c:pt>
                <c:pt idx="3">
                  <c:v>122</c:v>
                </c:pt>
                <c:pt idx="4">
                  <c:v>108</c:v>
                </c:pt>
                <c:pt idx="5">
                  <c:v>112</c:v>
                </c:pt>
                <c:pt idx="6">
                  <c:v>103</c:v>
                </c:pt>
                <c:pt idx="7">
                  <c:v>111</c:v>
                </c:pt>
                <c:pt idx="8">
                  <c:v>101</c:v>
                </c:pt>
                <c:pt idx="9">
                  <c:v>175</c:v>
                </c:pt>
                <c:pt idx="10">
                  <c:v>58</c:v>
                </c:pt>
                <c:pt idx="11">
                  <c:v>68</c:v>
                </c:pt>
                <c:pt idx="12">
                  <c:v>135</c:v>
                </c:pt>
                <c:pt idx="13">
                  <c:v>79</c:v>
                </c:pt>
                <c:pt idx="14">
                  <c:v>173</c:v>
                </c:pt>
                <c:pt idx="15">
                  <c:v>191</c:v>
                </c:pt>
                <c:pt idx="16">
                  <c:v>80</c:v>
                </c:pt>
                <c:pt idx="17">
                  <c:v>128</c:v>
                </c:pt>
                <c:pt idx="18">
                  <c:v>237</c:v>
                </c:pt>
                <c:pt idx="19">
                  <c:v>81</c:v>
                </c:pt>
                <c:pt idx="20">
                  <c:v>206</c:v>
                </c:pt>
                <c:pt idx="21">
                  <c:v>49</c:v>
                </c:pt>
                <c:pt idx="22">
                  <c:v>110</c:v>
                </c:pt>
                <c:pt idx="23">
                  <c:v>111</c:v>
                </c:pt>
                <c:pt idx="24">
                  <c:v>131</c:v>
                </c:pt>
                <c:pt idx="25">
                  <c:v>94</c:v>
                </c:pt>
                <c:pt idx="26">
                  <c:v>31</c:v>
                </c:pt>
                <c:pt idx="27">
                  <c:v>107</c:v>
                </c:pt>
                <c:pt idx="28">
                  <c:v>98</c:v>
                </c:pt>
                <c:pt idx="29">
                  <c:v>124</c:v>
                </c:pt>
                <c:pt idx="30">
                  <c:v>108</c:v>
                </c:pt>
                <c:pt idx="31">
                  <c:v>126</c:v>
                </c:pt>
                <c:pt idx="32">
                  <c:v>118</c:v>
                </c:pt>
                <c:pt idx="33">
                  <c:v>82</c:v>
                </c:pt>
                <c:pt idx="34">
                  <c:v>82</c:v>
                </c:pt>
                <c:pt idx="35">
                  <c:v>57</c:v>
                </c:pt>
                <c:pt idx="36">
                  <c:v>123</c:v>
                </c:pt>
                <c:pt idx="37">
                  <c:v>104</c:v>
                </c:pt>
                <c:pt idx="38">
                  <c:v>138</c:v>
                </c:pt>
                <c:pt idx="39">
                  <c:v>60</c:v>
                </c:pt>
                <c:pt idx="40">
                  <c:v>104</c:v>
                </c:pt>
                <c:pt idx="41">
                  <c:v>123</c:v>
                </c:pt>
                <c:pt idx="42">
                  <c:v>50</c:v>
                </c:pt>
                <c:pt idx="43">
                  <c:v>45</c:v>
                </c:pt>
                <c:pt idx="44">
                  <c:v>112</c:v>
                </c:pt>
                <c:pt idx="45">
                  <c:v>137</c:v>
                </c:pt>
                <c:pt idx="46">
                  <c:v>184</c:v>
                </c:pt>
                <c:pt idx="47">
                  <c:v>125</c:v>
                </c:pt>
                <c:pt idx="48">
                  <c:v>136</c:v>
                </c:pt>
                <c:pt idx="49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B-4730-873B-45C656CFF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119240"/>
        <c:axId val="1505125384"/>
      </c:scatterChart>
      <c:valAx>
        <c:axId val="150511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Fatality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25384"/>
        <c:crosses val="autoZero"/>
        <c:crossBetween val="midCat"/>
      </c:valAx>
      <c:valAx>
        <c:axId val="150512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years to inspect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19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[2012_Workplace_Fatalities_by_State 2.xlsx]Pivot_StateInsights!Pivot_StateInsights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Injuries/Illnesses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Pivot_StateInsights!$B$3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Pivot_StateInsights!$A$4:$A$25</c:f>
              <c:strCache>
                <c:ptCount val="21"/>
                <c:pt idx="0">
                  <c:v>Wyoming
</c:v>
                </c:pt>
                <c:pt idx="1">
                  <c:v>Alaska
</c:v>
                </c:pt>
                <c:pt idx="2">
                  <c:v>Vermont
</c:v>
                </c:pt>
                <c:pt idx="3">
                  <c:v>Hawaii
</c:v>
                </c:pt>
                <c:pt idx="4">
                  <c:v>New Mexico
</c:v>
                </c:pt>
                <c:pt idx="5">
                  <c:v>Utah
</c:v>
                </c:pt>
                <c:pt idx="6">
                  <c:v>Nevada
</c:v>
                </c:pt>
                <c:pt idx="7">
                  <c:v>South Carolina
</c:v>
                </c:pt>
                <c:pt idx="8">
                  <c:v>Oregon
</c:v>
                </c:pt>
                <c:pt idx="9">
                  <c:v>Iowa
</c:v>
                </c:pt>
                <c:pt idx="10">
                  <c:v>Kentucky
</c:v>
                </c:pt>
                <c:pt idx="11">
                  <c:v>Maryland
</c:v>
                </c:pt>
                <c:pt idx="12">
                  <c:v>Arizona
</c:v>
                </c:pt>
                <c:pt idx="13">
                  <c:v>Tennessee
</c:v>
                </c:pt>
                <c:pt idx="14">
                  <c:v>Virginia
</c:v>
                </c:pt>
                <c:pt idx="15">
                  <c:v>Minnesota
</c:v>
                </c:pt>
                <c:pt idx="16">
                  <c:v>North Carolina
</c:v>
                </c:pt>
                <c:pt idx="17">
                  <c:v>Indiana
</c:v>
                </c:pt>
                <c:pt idx="18">
                  <c:v>Washington
</c:v>
                </c:pt>
                <c:pt idx="19">
                  <c:v>Michigan
</c:v>
                </c:pt>
                <c:pt idx="20">
                  <c:v>California
</c:v>
                </c:pt>
              </c:strCache>
            </c:strRef>
          </c:cat>
          <c:val>
            <c:numRef>
              <c:f>Pivot_StateInsights!$B$4:$B$25</c:f>
              <c:numCache>
                <c:formatCode>#,##0.00</c:formatCode>
                <c:ptCount val="21"/>
                <c:pt idx="0">
                  <c:v>6500</c:v>
                </c:pt>
                <c:pt idx="1">
                  <c:v>9700</c:v>
                </c:pt>
                <c:pt idx="2">
                  <c:v>9900</c:v>
                </c:pt>
                <c:pt idx="3">
                  <c:v>13700</c:v>
                </c:pt>
                <c:pt idx="4">
                  <c:v>19900</c:v>
                </c:pt>
                <c:pt idx="5">
                  <c:v>27700</c:v>
                </c:pt>
                <c:pt idx="6">
                  <c:v>32400</c:v>
                </c:pt>
                <c:pt idx="7">
                  <c:v>36200</c:v>
                </c:pt>
                <c:pt idx="8">
                  <c:v>42900</c:v>
                </c:pt>
                <c:pt idx="9">
                  <c:v>45600</c:v>
                </c:pt>
                <c:pt idx="10">
                  <c:v>48900</c:v>
                </c:pt>
                <c:pt idx="11">
                  <c:v>51900</c:v>
                </c:pt>
                <c:pt idx="12">
                  <c:v>54400</c:v>
                </c:pt>
                <c:pt idx="13">
                  <c:v>65100</c:v>
                </c:pt>
                <c:pt idx="14">
                  <c:v>66200</c:v>
                </c:pt>
                <c:pt idx="15">
                  <c:v>67500</c:v>
                </c:pt>
                <c:pt idx="16">
                  <c:v>75900</c:v>
                </c:pt>
                <c:pt idx="17">
                  <c:v>77900</c:v>
                </c:pt>
                <c:pt idx="18">
                  <c:v>89300</c:v>
                </c:pt>
                <c:pt idx="19">
                  <c:v>105500</c:v>
                </c:pt>
                <c:pt idx="20">
                  <c:v>345400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A-4B7E-A6E6-8781E7D48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4581128"/>
        <c:axId val="744590344"/>
      </c:barChart>
      <c:catAx>
        <c:axId val="744581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90344"/>
        <c:crosses val="autoZero"/>
        <c:auto val="1"/>
        <c:lblAlgn val="ctr"/>
        <c:lblOffset val="100"/>
        <c:noMultiLvlLbl val="0"/>
      </c:catAx>
      <c:valAx>
        <c:axId val="74459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Injuries/Illnesses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8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[2012_Workplace_Fatalities_by_State 2.xlsx]Pivot_ProgramComparison!Pivot_ProgramComparison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vs Federal Fatality Rate</a:t>
            </a:r>
          </a:p>
        </c:rich>
      </c:tx>
      <c:layout>
        <c:manualLayout>
          <c:xMode val="edge"/>
          <c:yMode val="edge"/>
          <c:x val="0.27219274934383203"/>
          <c:y val="3.5820810891477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4C6E7"/>
          </a:solidFill>
          <a:ln>
            <a:noFill/>
          </a:ln>
          <a:effectLst/>
        </c:spPr>
      </c:pivotFmt>
      <c:pivotFmt>
        <c:idx val="2"/>
        <c:spPr>
          <a:solidFill>
            <a:srgbClr val="20376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Pivot_ProgramComparison!$B$3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B4C6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96-42C2-AB12-F3D3D8ECE8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Pivot_ProgramComparison!$A$4:$A$6</c:f>
              <c:strCache>
                <c:ptCount val="2"/>
                <c:pt idx="0">
                  <c:v>Federal</c:v>
                </c:pt>
                <c:pt idx="1">
                  <c:v>State</c:v>
                </c:pt>
              </c:strCache>
            </c:strRef>
          </c:cat>
          <c:val>
            <c:numRef>
              <c:f>Pivot_ProgramComparison!$B$4:$B$6</c:f>
              <c:numCache>
                <c:formatCode>General</c:formatCode>
                <c:ptCount val="2"/>
                <c:pt idx="0">
                  <c:v>4.4206896551724144</c:v>
                </c:pt>
                <c:pt idx="1">
                  <c:v>4.1761904761904765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6-42C2-AB12-F3D3D8ECE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overlap val="-27"/>
        <c:axId val="1020277256"/>
        <c:axId val="2107047943"/>
      </c:barChart>
      <c:catAx>
        <c:axId val="1020277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47943"/>
        <c:crosses val="autoZero"/>
        <c:auto val="1"/>
        <c:lblAlgn val="ctr"/>
        <c:lblOffset val="100"/>
        <c:noMultiLvlLbl val="0"/>
      </c:catAx>
      <c:valAx>
        <c:axId val="2107047943"/>
        <c:scaling>
          <c:orientation val="minMax"/>
          <c:min val="4.09999999999999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Fatality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77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State Fatality Rates, 2012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Distribution of State Fatality Rates, 2012</a:t>
          </a:r>
        </a:p>
      </cx:txPr>
    </cx:title>
    <cx:plotArea>
      <cx:plotAreaRegion>
        <cx:series layoutId="clusteredColumn" uniqueId="{00000000-97C6-4587-969D-184FED283DFC}">
          <cx:tx>
            <cx:txData>
              <cx:f>_xlchart.v1.0</cx:f>
              <cx:v>Rate of Fatalities, 2012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1.10000002"/>
        <cx:title>
          <cx:tx>
            <cx:txData>
              <cx:v>Fatality Rate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Fatality Rate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Number of States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Number of States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180975</xdr:rowOff>
    </xdr:from>
    <xdr:to>
      <xdr:col>14</xdr:col>
      <xdr:colOff>581025</xdr:colOff>
      <xdr:row>20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1">
              <a:extLst>
                <a:ext uri="{FF2B5EF4-FFF2-40B4-BE49-F238E27FC236}">
                  <a16:creationId xmlns:a16="http://schemas.microsoft.com/office/drawing/2014/main" id="{063FAF6C-88F6-8817-A44D-7DD0155DAF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7</xdr:col>
      <xdr:colOff>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3711B-5CC4-7998-978A-2E1D8F1ED446}"/>
            </a:ext>
            <a:ext uri="{147F2762-F138-4A5C-976F-8EAC2B608ADB}">
              <a16:predDERef xmlns:a16="http://schemas.microsoft.com/office/drawing/2014/main" pred="{9E5B13CE-EE88-5D34-DFB5-91E5521CE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609600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BCB63-D249-770C-51F1-61EC7369F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180975</xdr:rowOff>
    </xdr:from>
    <xdr:to>
      <xdr:col>10</xdr:col>
      <xdr:colOff>600075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91A8F-78D5-95B9-8CD2-D2FDC4726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1828800</xdr:colOff>
      <xdr:row>18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e or Federal Program">
              <a:extLst>
                <a:ext uri="{FF2B5EF4-FFF2-40B4-BE49-F238E27FC236}">
                  <a16:creationId xmlns:a16="http://schemas.microsoft.com/office/drawing/2014/main" id="{30093F34-05DF-76E5-DE25-FF661F282F5D}"/>
                </a:ext>
                <a:ext uri="{147F2762-F138-4A5C-976F-8EAC2B608ADB}">
                  <a16:predDERef xmlns:a16="http://schemas.microsoft.com/office/drawing/2014/main" pred="{C9A91A8F-78D5-95B9-8CD2-D2FDC47263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or Federal Progr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9775" y="1323975"/>
              <a:ext cx="1828800" cy="2076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6.513293518517" createdVersion="8" refreshedVersion="8" minRefreshableVersion="3" recordCount="50" xr:uid="{0B9A45AB-FC95-48D9-BDB3-3280A0B8D8FF}">
  <cacheSource type="worksheet">
    <worksheetSource name="Table1"/>
  </cacheSource>
  <cacheFields count="12">
    <cacheField name="State" numFmtId="0">
      <sharedItems count="50">
        <s v="South Carolina_x000a_(33.99882060100049, -81.04536765699964)"/>
        <s v="West Virginia_x000a_(38.665511497000466, -80.71263935099967)"/>
        <s v="Massachusetts_x000a_(42.27687306500047, -72.08268985899963)"/>
        <s v="Tennessee_x000a_(35.680943063000484, -85.77448642199965)"/>
        <s v="Oklahoma_x000a_(35.472034350000456, -97.52106845499969)"/>
        <s v="Illinois_x000a_(40.48501278700047, -88.99770813999965)"/>
        <s v="Nebraska_x000a_(41.64104043900045, -99.36571864599966)"/>
        <s v="Delaware_x000a_(39.00883351400046, -75.57773943699965)"/>
        <s v="Hawaii_x000a_(21.30485166200043, -157.85774691599974)"/>
        <s v="Iowa_x000a_(42.469404401000475, -93.81648936699969)"/>
        <s v="Arizona_x000a_(34.865973091000455, -111.76380949799972)"/>
        <s v="Florida_x000a_(28.932042899000464, -81.92895558499964)"/>
        <s v="Virginia_x000a_(37.54268075100049, -78.45788924199968)"/>
        <s v="Missouri_x000a_(38.63579372300046, -92.56629737199967)"/>
        <s v="Michigan_x000a_(44.66131575600048, -84.71438724399968)"/>
        <s v="Indiana_x000a_(39.76691364600049, -86.14995579899966)"/>
        <s v="North Carolina_x000a_(35.46622388600048, -79.15924924699965)"/>
        <s v="New Hampshire_x000a_(43.6559537330005, -71.50035726399966)"/>
        <s v="New Mexico_x000a_(34.52088247800049, -106.24057768899968)"/>
        <s v="Pennsylvania_x000a_(40.79373106100047, -77.86069775999965)"/>
        <s v="South Dakota_x000a_(44.35313342000046, -100.37352811899967)"/>
        <s v="New York_x000a_(42.82700023900048, -75.54396639699968)"/>
        <s v="Utah_x000a_(39.36070374600047, -111.5871285339997)"/>
        <s v="Maine_x000a_(45.254228663000504, -68.98502952999962)"/>
        <s v="Montana_x000a_(47.066526051000494, -109.42441687999968)"/>
        <s v="Vermont_x000a_(43.62538292400046, -72.51763944499965)"/>
        <s v="Arkansas_x000a_(34.748651751000466, -92.27448794899965)"/>
        <s v="Nevada_x000a_(39.49324126500045, -117.07183978499972)"/>
        <s v="Kentucky_x000a_(37.645973909000475, -84.77496612599964)"/>
        <s v="Maryland_x000a_(39.2905806980005, -76.60925970899967)"/>
        <s v="Alabama_x000a_(32.84057327200048, -86.63185803899967)"/>
        <s v="Connecticut_x000a_(41.56266394200048, -72.64983753699966)"/>
        <s v="Oregon_x000a_(44.567446178000466, -120.15502977999972)"/>
        <s v="Colorado_x000a_(38.84384047000049, -106.13360888799969)"/>
        <s v="Ohio_x000a_(40.06021029700048, -82.40425685299965)"/>
        <s v="Wyoming_x000a_(43.23554147100049, -108.10982744299969)"/>
        <s v="Minnesota_x000a_(46.35564867700049, -94.79419697699967)"/>
        <s v="Kansas_x000a_(38.34774033400049, -98.20077655499966)"/>
        <s v="Idaho_x000a_(43.682630058000484, -114.3637261449997)"/>
        <s v="Washington_x000a_(47.522287905000496, -120.47002746299972)"/>
        <s v="Wisconsin_x000a_(44.3931903350005, -89.81636715299965)"/>
        <s v="Mississippi_x000a_(32.74551123200047, -89.53802764499966)"/>
        <s v="Louisiana_x000a_(31.312662564000448, -92.44567554599968)"/>
        <s v="Georgia_x000a_(32.83968004200045, -83.62757601199968)"/>
        <s v="Rhode Island_x000a_(41.70828281900049, -71.52246918099962)"/>
        <s v="Alaska_x000a_(64.84507923900048, -147.72205669099972)"/>
        <s v="New Jersey_x000a_(40.1305700530005, -74.27368565099965)"/>
        <s v="North Dakota_x000a_(47.47531738700047, -100.11842599699969)"/>
        <s v="Texas_x000a_(31.827243635000457, -99.4267664729997)"/>
        <s v="California_x000a_(37.638640488000476, -120.99999889499969)"/>
      </sharedItems>
    </cacheField>
    <cacheField name="State, without coordinates" numFmtId="0">
      <sharedItems count="50">
        <s v="South Carolina_x000a_"/>
        <s v="West Virginia_x000a_"/>
        <s v="Massachusetts_x000a_"/>
        <s v="Tennessee_x000a_"/>
        <s v="Oklahoma_x000a_"/>
        <s v="Illinois_x000a_"/>
        <s v="Nebraska_x000a_"/>
        <s v="Delaware_x000a_"/>
        <s v="Hawaii_x000a_"/>
        <s v="Iowa_x000a_"/>
        <s v="Arizona_x000a_"/>
        <s v="Florida_x000a_"/>
        <s v="Virginia_x000a_"/>
        <s v="Missouri_x000a_"/>
        <s v="Michigan_x000a_"/>
        <s v="Indiana_x000a_"/>
        <s v="North Carolina_x000a_"/>
        <s v="New Hampshire_x000a_"/>
        <s v="New Mexico_x000a_"/>
        <s v="Pennsylvania_x000a_"/>
        <s v="South Dakota_x000a_"/>
        <s v="New York_x000a_"/>
        <s v="Utah_x000a_"/>
        <s v="Maine_x000a_"/>
        <s v="Montana_x000a_"/>
        <s v="Vermont_x000a_"/>
        <s v="Arkansas_x000a_"/>
        <s v="Nevada_x000a_"/>
        <s v="Kentucky_x000a_"/>
        <s v="Maryland_x000a_"/>
        <s v="Alabama_x000a_"/>
        <s v="Connecticut_x000a_"/>
        <s v="Oregon_x000a_"/>
        <s v="Colorado_x000a_"/>
        <s v="Ohio_x000a_"/>
        <s v="Wyoming_x000a_"/>
        <s v="Minnesota_x000a_"/>
        <s v="Kansas_x000a_"/>
        <s v="Idaho_x000a_"/>
        <s v="Washington_x000a_"/>
        <s v="Wisconsin_x000a_"/>
        <s v="Mississippi_x000a_"/>
        <s v="Louisiana_x000a_"/>
        <s v="Georgia_x000a_"/>
        <s v="Rhode Island_x000a_"/>
        <s v="Alaska_x000a_"/>
        <s v="New Jersey_x000a_"/>
        <s v="North Dakota_x000a_"/>
        <s v="Texas_x000a_"/>
        <s v="California_x000a_"/>
      </sharedItems>
    </cacheField>
    <cacheField name="Number of Fatalities, 2012" numFmtId="0">
      <sharedItems containsSemiMixedTypes="0" containsString="0" containsNumber="1" containsInteger="1" minValue="8" maxValue="536"/>
    </cacheField>
    <cacheField name="Rate of Fatalities, 2012" numFmtId="0">
      <sharedItems containsSemiMixedTypes="0" containsString="0" containsNumber="1" minValue="1.4" maxValue="17.7" count="35">
        <n v="3.5"/>
        <n v="6.9"/>
        <n v="1.4"/>
        <n v="3.8"/>
        <n v="6.1"/>
        <n v="2.5"/>
        <n v="5.2"/>
        <n v="3.1"/>
        <n v="3.4"/>
        <n v="6.6"/>
        <n v="2.2999999999999998"/>
        <n v="2.7"/>
        <n v="3.3"/>
        <n v="4.2"/>
        <n v="2.2000000000000002"/>
        <n v="4.8"/>
        <n v="6.7"/>
        <n v="2.4"/>
        <n v="3"/>
        <n v="3.2"/>
        <n v="7.3"/>
        <n v="5.4"/>
        <n v="3.6"/>
        <n v="4.9000000000000004"/>
        <n v="2.6"/>
        <n v="4.3"/>
        <n v="2.1"/>
        <n v="12.2"/>
        <n v="5.7"/>
        <n v="4"/>
        <n v="5.5"/>
        <n v="6.4"/>
        <n v="1.7"/>
        <n v="8.9"/>
        <n v="17.7"/>
      </sharedItems>
    </cacheField>
    <cacheField name="State Rank, Fatalities 2012" numFmtId="0">
      <sharedItems containsSemiMixedTypes="0" containsString="0" containsNumber="1" containsInteger="1" minValue="1" maxValue="50"/>
    </cacheField>
    <cacheField name="Number of Injuries/Illnesses 2012" numFmtId="0">
      <sharedItems containsSemiMixedTypes="0" containsString="0" containsNumber="1" containsInteger="1" minValue="0" maxValue="345400"/>
    </cacheField>
    <cacheField name="Injuries/Illnesses 2012 Rate" numFmtId="0">
      <sharedItems containsString="0" containsBlank="1" containsNumber="1" minValue="2.2999999999999998" maxValue="5.6"/>
    </cacheField>
    <cacheField name="Penalties FY 2013 (Average $)" numFmtId="0">
      <sharedItems containsSemiMixedTypes="0" containsString="0" containsNumber="1" containsInteger="1" minValue="363" maxValue="6422"/>
    </cacheField>
    <cacheField name="Penalties FY 2013 (Rank)" numFmtId="0">
      <sharedItems containsSemiMixedTypes="0" containsString="0" containsNumber="1" containsInteger="1" minValue="1" maxValue="50"/>
    </cacheField>
    <cacheField name="Inspectors" numFmtId="0">
      <sharedItems containsSemiMixedTypes="0" containsString="0" containsNumber="1" containsInteger="1" minValue="0" maxValue="216"/>
    </cacheField>
    <cacheField name="Years to Inspect Each Workplace Once" numFmtId="0">
      <sharedItems containsSemiMixedTypes="0" containsString="0" containsNumber="1" containsInteger="1" minValue="31" maxValue="521"/>
    </cacheField>
    <cacheField name="State or Federal Program" numFmtId="0">
      <sharedItems count="2">
        <s v="State"/>
        <s v="Federal"/>
      </sharedItems>
    </cacheField>
  </cacheFields>
  <extLst>
    <ext xmlns:x14="http://schemas.microsoft.com/office/spreadsheetml/2009/9/main" uri="{725AE2AE-9491-48be-B2B4-4EB974FC3084}">
      <x14:pivotCacheDefinition pivotCacheId="17578371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63"/>
    <x v="0"/>
    <n v="25"/>
    <n v="36200"/>
    <n v="3"/>
    <n v="492"/>
    <n v="49"/>
    <n v="24"/>
    <n v="111"/>
    <x v="0"/>
  </r>
  <r>
    <x v="1"/>
    <x v="1"/>
    <n v="49"/>
    <x v="1"/>
    <n v="46"/>
    <n v="19800"/>
    <n v="4.0999999999999996"/>
    <n v="1798"/>
    <n v="27"/>
    <n v="7"/>
    <n v="173"/>
    <x v="1"/>
  </r>
  <r>
    <x v="2"/>
    <x v="2"/>
    <n v="44"/>
    <x v="2"/>
    <n v="1"/>
    <n v="69700"/>
    <n v="3.1"/>
    <n v="1929"/>
    <n v="21"/>
    <n v="33"/>
    <n v="123"/>
    <x v="1"/>
  </r>
  <r>
    <x v="3"/>
    <x v="3"/>
    <n v="101"/>
    <x v="3"/>
    <n v="30"/>
    <n v="65100"/>
    <n v="3.5"/>
    <n v="727"/>
    <n v="45"/>
    <n v="30"/>
    <n v="82"/>
    <x v="0"/>
  </r>
  <r>
    <x v="4"/>
    <x v="4"/>
    <n v="97"/>
    <x v="4"/>
    <n v="42"/>
    <n v="39000"/>
    <n v="3.6"/>
    <n v="1872"/>
    <n v="24"/>
    <n v="19"/>
    <n v="131"/>
    <x v="1"/>
  </r>
  <r>
    <x v="5"/>
    <x v="5"/>
    <n v="146"/>
    <x v="5"/>
    <n v="10"/>
    <n v="124900"/>
    <n v="3.2"/>
    <n v="1876"/>
    <n v="23"/>
    <n v="74"/>
    <n v="137"/>
    <x v="1"/>
  </r>
  <r>
    <x v="6"/>
    <x v="6"/>
    <n v="48"/>
    <x v="6"/>
    <n v="38"/>
    <n v="24300"/>
    <n v="3.9"/>
    <n v="2565"/>
    <n v="5"/>
    <n v="9"/>
    <n v="128"/>
    <x v="1"/>
  </r>
  <r>
    <x v="7"/>
    <x v="7"/>
    <n v="14"/>
    <x v="7"/>
    <n v="18"/>
    <n v="7900"/>
    <n v="2.8"/>
    <n v="2406"/>
    <n v="6"/>
    <n v="5"/>
    <n v="175"/>
    <x v="1"/>
  </r>
  <r>
    <x v="8"/>
    <x v="8"/>
    <n v="20"/>
    <x v="8"/>
    <n v="22"/>
    <n v="13700"/>
    <n v="3.8"/>
    <n v="964"/>
    <n v="39"/>
    <n v="20"/>
    <n v="79"/>
    <x v="0"/>
  </r>
  <r>
    <x v="9"/>
    <x v="9"/>
    <n v="97"/>
    <x v="9"/>
    <n v="44"/>
    <n v="45600"/>
    <n v="4.5"/>
    <n v="790"/>
    <n v="43"/>
    <n v="26"/>
    <n v="98"/>
    <x v="0"/>
  </r>
  <r>
    <x v="10"/>
    <x v="10"/>
    <n v="60"/>
    <x v="10"/>
    <n v="6"/>
    <n v="54400"/>
    <n v="3.2"/>
    <n v="891"/>
    <n v="40"/>
    <n v="30"/>
    <n v="126"/>
    <x v="0"/>
  </r>
  <r>
    <x v="11"/>
    <x v="11"/>
    <n v="218"/>
    <x v="11"/>
    <n v="15"/>
    <n v="0"/>
    <m/>
    <n v="1821"/>
    <n v="25"/>
    <n v="60"/>
    <n v="238"/>
    <x v="1"/>
  </r>
  <r>
    <x v="12"/>
    <x v="12"/>
    <n v="149"/>
    <x v="3"/>
    <n v="30"/>
    <n v="66200"/>
    <n v="2.7"/>
    <n v="726"/>
    <n v="46"/>
    <n v="48"/>
    <n v="82"/>
    <x v="0"/>
  </r>
  <r>
    <x v="13"/>
    <x v="13"/>
    <n v="88"/>
    <x v="12"/>
    <n v="21"/>
    <n v="60300"/>
    <n v="3.3"/>
    <n v="1931"/>
    <n v="20"/>
    <n v="26"/>
    <n v="118"/>
    <x v="1"/>
  </r>
  <r>
    <x v="14"/>
    <x v="14"/>
    <n v="137"/>
    <x v="8"/>
    <n v="22"/>
    <n v="105500"/>
    <n v="4"/>
    <n v="542"/>
    <n v="48"/>
    <n v="63"/>
    <n v="45"/>
    <x v="0"/>
  </r>
  <r>
    <x v="15"/>
    <x v="15"/>
    <n v="115"/>
    <x v="13"/>
    <n v="33"/>
    <n v="77900"/>
    <n v="3.9"/>
    <n v="1054"/>
    <n v="34"/>
    <n v="39"/>
    <n v="104"/>
    <x v="0"/>
  </r>
  <r>
    <x v="16"/>
    <x v="16"/>
    <n v="146"/>
    <x v="0"/>
    <n v="25"/>
    <n v="75900"/>
    <n v="2.9"/>
    <n v="996"/>
    <n v="38"/>
    <n v="104"/>
    <n v="60"/>
    <x v="0"/>
  </r>
  <r>
    <x v="17"/>
    <x v="17"/>
    <n v="14"/>
    <x v="14"/>
    <n v="4"/>
    <n v="0"/>
    <m/>
    <n v="2243"/>
    <n v="8"/>
    <n v="7"/>
    <n v="119"/>
    <x v="1"/>
  </r>
  <r>
    <x v="18"/>
    <x v="18"/>
    <n v="39"/>
    <x v="15"/>
    <n v="35"/>
    <n v="19900"/>
    <n v="3.9"/>
    <n v="998"/>
    <n v="37"/>
    <n v="9"/>
    <n v="191"/>
    <x v="0"/>
  </r>
  <r>
    <x v="19"/>
    <x v="19"/>
    <n v="194"/>
    <x v="8"/>
    <n v="22"/>
    <n v="155300"/>
    <n v="3.9"/>
    <n v="1916"/>
    <n v="22"/>
    <n v="57"/>
    <n v="125"/>
    <x v="1"/>
  </r>
  <r>
    <x v="20"/>
    <x v="20"/>
    <n v="31"/>
    <x v="16"/>
    <n v="45"/>
    <n v="0"/>
    <m/>
    <n v="2346"/>
    <n v="7"/>
    <n v="0"/>
    <n v="521"/>
    <x v="1"/>
  </r>
  <r>
    <x v="21"/>
    <x v="21"/>
    <n v="202"/>
    <x v="17"/>
    <n v="8"/>
    <n v="146300"/>
    <n v="2.5"/>
    <n v="2016"/>
    <n v="17"/>
    <n v="105"/>
    <n v="184"/>
    <x v="1"/>
  </r>
  <r>
    <x v="22"/>
    <x v="22"/>
    <n v="39"/>
    <x v="18"/>
    <n v="17"/>
    <n v="27700"/>
    <n v="3.4"/>
    <n v="1053"/>
    <n v="35"/>
    <n v="22"/>
    <n v="81"/>
    <x v="0"/>
  </r>
  <r>
    <x v="23"/>
    <x v="23"/>
    <n v="19"/>
    <x v="19"/>
    <n v="20"/>
    <n v="21200"/>
    <n v="5.6"/>
    <n v="2083"/>
    <n v="14"/>
    <n v="8"/>
    <n v="80"/>
    <x v="1"/>
  </r>
  <r>
    <x v="24"/>
    <x v="24"/>
    <n v="34"/>
    <x v="20"/>
    <n v="47"/>
    <n v="13300"/>
    <n v="5"/>
    <n v="1983"/>
    <n v="18"/>
    <n v="7"/>
    <n v="135"/>
    <x v="1"/>
  </r>
  <r>
    <x v="25"/>
    <x v="25"/>
    <n v="11"/>
    <x v="0"/>
    <n v="25"/>
    <n v="9900"/>
    <n v="5"/>
    <n v="1008"/>
    <n v="36"/>
    <n v="9"/>
    <n v="68"/>
    <x v="0"/>
  </r>
  <r>
    <x v="26"/>
    <x v="26"/>
    <n v="63"/>
    <x v="21"/>
    <n v="39"/>
    <n v="26600"/>
    <n v="3.2"/>
    <n v="2569"/>
    <n v="4"/>
    <n v="9"/>
    <n v="237"/>
    <x v="1"/>
  </r>
  <r>
    <x v="27"/>
    <x v="27"/>
    <n v="42"/>
    <x v="22"/>
    <n v="29"/>
    <n v="32400"/>
    <n v="4.0999999999999996"/>
    <n v="2133"/>
    <n v="13"/>
    <n v="44"/>
    <n v="49"/>
    <x v="0"/>
  </r>
  <r>
    <x v="28"/>
    <x v="28"/>
    <n v="91"/>
    <x v="23"/>
    <n v="37"/>
    <n v="48900"/>
    <n v="4.0999999999999996"/>
    <n v="3254"/>
    <n v="2"/>
    <n v="39"/>
    <n v="124"/>
    <x v="0"/>
  </r>
  <r>
    <x v="29"/>
    <x v="29"/>
    <n v="72"/>
    <x v="24"/>
    <n v="12"/>
    <n v="51900"/>
    <n v="3.1"/>
    <n v="685"/>
    <n v="47"/>
    <n v="48"/>
    <n v="108"/>
    <x v="0"/>
  </r>
  <r>
    <x v="30"/>
    <x v="30"/>
    <n v="84"/>
    <x v="25"/>
    <n v="34"/>
    <n v="41200"/>
    <n v="3.3"/>
    <n v="1803"/>
    <n v="26"/>
    <n v="24"/>
    <n v="94"/>
    <x v="1"/>
  </r>
  <r>
    <x v="31"/>
    <x v="31"/>
    <n v="36"/>
    <x v="26"/>
    <n v="3"/>
    <n v="43800"/>
    <n v="3.9"/>
    <n v="1735"/>
    <n v="30"/>
    <n v="24"/>
    <n v="107"/>
    <x v="1"/>
  </r>
  <r>
    <x v="32"/>
    <x v="32"/>
    <n v="43"/>
    <x v="24"/>
    <n v="12"/>
    <n v="42900"/>
    <n v="3.9"/>
    <n v="363"/>
    <n v="50"/>
    <n v="75"/>
    <n v="31"/>
    <x v="0"/>
  </r>
  <r>
    <x v="33"/>
    <x v="33"/>
    <n v="82"/>
    <x v="0"/>
    <n v="25"/>
    <n v="0"/>
    <m/>
    <n v="1649"/>
    <n v="31"/>
    <n v="28"/>
    <n v="122"/>
    <x v="1"/>
  </r>
  <r>
    <x v="34"/>
    <x v="34"/>
    <n v="161"/>
    <x v="7"/>
    <n v="18"/>
    <n v="113600"/>
    <n v="3.2"/>
    <n v="2156"/>
    <n v="11"/>
    <n v="53"/>
    <n v="112"/>
    <x v="1"/>
  </r>
  <r>
    <x v="35"/>
    <x v="35"/>
    <n v="35"/>
    <x v="27"/>
    <n v="49"/>
    <n v="6500"/>
    <n v="3.5"/>
    <n v="1777"/>
    <n v="28"/>
    <n v="9"/>
    <n v="101"/>
    <x v="0"/>
  </r>
  <r>
    <x v="36"/>
    <x v="36"/>
    <n v="70"/>
    <x v="24"/>
    <n v="12"/>
    <n v="67500"/>
    <n v="3.8"/>
    <n v="768"/>
    <n v="44"/>
    <n v="58"/>
    <n v="57"/>
    <x v="0"/>
  </r>
  <r>
    <x v="37"/>
    <x v="37"/>
    <n v="76"/>
    <x v="28"/>
    <n v="41"/>
    <n v="33400"/>
    <n v="3.6"/>
    <n v="1971"/>
    <n v="19"/>
    <n v="16"/>
    <n v="110"/>
    <x v="1"/>
  </r>
  <r>
    <x v="38"/>
    <x v="38"/>
    <n v="19"/>
    <x v="11"/>
    <n v="15"/>
    <n v="0"/>
    <m/>
    <n v="1449"/>
    <n v="33"/>
    <n v="9"/>
    <n v="108"/>
    <x v="1"/>
  </r>
  <r>
    <x v="39"/>
    <x v="39"/>
    <n v="67"/>
    <x v="14"/>
    <n v="4"/>
    <n v="89300"/>
    <n v="4.8"/>
    <n v="791"/>
    <n v="42"/>
    <n v="111"/>
    <n v="50"/>
    <x v="0"/>
  </r>
  <r>
    <x v="40"/>
    <x v="40"/>
    <n v="114"/>
    <x v="29"/>
    <n v="32"/>
    <n v="72900"/>
    <n v="4"/>
    <n v="2207"/>
    <n v="9"/>
    <n v="36"/>
    <n v="104"/>
    <x v="1"/>
  </r>
  <r>
    <x v="41"/>
    <x v="41"/>
    <n v="63"/>
    <x v="30"/>
    <n v="40"/>
    <n v="0"/>
    <m/>
    <n v="1515"/>
    <n v="32"/>
    <n v="14"/>
    <n v="112"/>
    <x v="1"/>
  </r>
  <r>
    <x v="42"/>
    <x v="42"/>
    <n v="116"/>
    <x v="31"/>
    <n v="43"/>
    <n v="30600"/>
    <n v="2.2999999999999998"/>
    <n v="1765"/>
    <n v="29"/>
    <n v="16"/>
    <n v="206"/>
    <x v="1"/>
  </r>
  <r>
    <x v="43"/>
    <x v="43"/>
    <n v="101"/>
    <x v="5"/>
    <n v="10"/>
    <n v="74800"/>
    <n v="2.8"/>
    <n v="2061"/>
    <n v="15"/>
    <n v="49"/>
    <n v="138"/>
    <x v="1"/>
  </r>
  <r>
    <x v="44"/>
    <x v="44"/>
    <n v="8"/>
    <x v="32"/>
    <n v="2"/>
    <n v="0"/>
    <m/>
    <n v="2023"/>
    <n v="16"/>
    <n v="7"/>
    <n v="103"/>
    <x v="1"/>
  </r>
  <r>
    <x v="45"/>
    <x v="45"/>
    <n v="31"/>
    <x v="33"/>
    <n v="48"/>
    <n v="9700"/>
    <n v="4.5999999999999996"/>
    <n v="889"/>
    <n v="41"/>
    <n v="11"/>
    <n v="58"/>
    <x v="0"/>
  </r>
  <r>
    <x v="46"/>
    <x v="46"/>
    <n v="92"/>
    <x v="17"/>
    <n v="8"/>
    <n v="80900"/>
    <n v="3.1"/>
    <n v="2151"/>
    <n v="12"/>
    <n v="67"/>
    <n v="123"/>
    <x v="1"/>
  </r>
  <r>
    <x v="47"/>
    <x v="47"/>
    <n v="65"/>
    <x v="34"/>
    <n v="50"/>
    <n v="0"/>
    <m/>
    <n v="3045"/>
    <n v="3"/>
    <n v="8"/>
    <n v="111"/>
    <x v="1"/>
  </r>
  <r>
    <x v="48"/>
    <x v="48"/>
    <n v="536"/>
    <x v="15"/>
    <n v="35"/>
    <n v="203200"/>
    <n v="2.7"/>
    <n v="2187"/>
    <n v="10"/>
    <n v="98"/>
    <n v="136"/>
    <x v="1"/>
  </r>
  <r>
    <x v="49"/>
    <x v="49"/>
    <n v="375"/>
    <x v="10"/>
    <n v="6"/>
    <n v="345400"/>
    <n v="3.5"/>
    <n v="6422"/>
    <n v="1"/>
    <n v="216"/>
    <n v="1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454A5-96CC-4995-BFF1-BB8D806DE47B}" name="Pivot_InspectionVsFatality" cacheId="43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54" firstHeaderRow="0" firstDataRow="1" firstDataCol="1"/>
  <pivotFields count="12">
    <pivotField compact="0" outline="0" showAll="0">
      <items count="51">
        <item x="30"/>
        <item x="45"/>
        <item x="10"/>
        <item x="26"/>
        <item x="49"/>
        <item x="33"/>
        <item x="31"/>
        <item x="7"/>
        <item x="11"/>
        <item x="43"/>
        <item x="8"/>
        <item x="38"/>
        <item x="5"/>
        <item x="15"/>
        <item x="9"/>
        <item x="37"/>
        <item x="28"/>
        <item x="42"/>
        <item x="23"/>
        <item x="29"/>
        <item x="2"/>
        <item x="14"/>
        <item x="36"/>
        <item x="41"/>
        <item x="13"/>
        <item x="24"/>
        <item x="6"/>
        <item x="27"/>
        <item x="17"/>
        <item x="46"/>
        <item x="18"/>
        <item x="21"/>
        <item x="16"/>
        <item x="47"/>
        <item x="34"/>
        <item x="4"/>
        <item x="32"/>
        <item x="19"/>
        <item x="44"/>
        <item x="0"/>
        <item x="20"/>
        <item x="3"/>
        <item x="48"/>
        <item x="22"/>
        <item x="25"/>
        <item x="12"/>
        <item x="39"/>
        <item x="1"/>
        <item x="40"/>
        <item x="35"/>
        <item t="default"/>
      </items>
    </pivotField>
    <pivotField axis="axisRow" compact="0" outline="0" showAll="0" sortType="ascending">
      <items count="51">
        <item x="30"/>
        <item x="45"/>
        <item x="10"/>
        <item x="26"/>
        <item x="49"/>
        <item x="33"/>
        <item x="31"/>
        <item x="7"/>
        <item x="11"/>
        <item x="43"/>
        <item x="8"/>
        <item x="38"/>
        <item x="5"/>
        <item x="15"/>
        <item x="9"/>
        <item x="37"/>
        <item x="28"/>
        <item x="42"/>
        <item x="23"/>
        <item x="29"/>
        <item x="2"/>
        <item x="14"/>
        <item x="36"/>
        <item x="41"/>
        <item x="13"/>
        <item x="24"/>
        <item x="6"/>
        <item x="27"/>
        <item x="17"/>
        <item x="46"/>
        <item x="18"/>
        <item x="21"/>
        <item x="16"/>
        <item x="47"/>
        <item x="34"/>
        <item x="4"/>
        <item x="32"/>
        <item x="19"/>
        <item x="44"/>
        <item x="0"/>
        <item x="20"/>
        <item x="3"/>
        <item x="48"/>
        <item x="22"/>
        <item x="25"/>
        <item x="12"/>
        <item x="39"/>
        <item x="1"/>
        <item x="40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51">
    <i>
      <x v="36"/>
    </i>
    <i>
      <x v="21"/>
    </i>
    <i>
      <x v="27"/>
    </i>
    <i>
      <x v="46"/>
    </i>
    <i>
      <x v="22"/>
    </i>
    <i>
      <x v="1"/>
    </i>
    <i>
      <x v="32"/>
    </i>
    <i>
      <x v="44"/>
    </i>
    <i>
      <x v="10"/>
    </i>
    <i>
      <x v="18"/>
    </i>
    <i>
      <x v="43"/>
    </i>
    <i>
      <x v="41"/>
    </i>
    <i>
      <x v="45"/>
    </i>
    <i>
      <x/>
    </i>
    <i>
      <x v="14"/>
    </i>
    <i>
      <x v="49"/>
    </i>
    <i>
      <x v="38"/>
    </i>
    <i>
      <x v="48"/>
    </i>
    <i>
      <x v="13"/>
    </i>
    <i>
      <x v="6"/>
    </i>
    <i>
      <x v="11"/>
    </i>
    <i>
      <x v="19"/>
    </i>
    <i>
      <x v="15"/>
    </i>
    <i>
      <x v="39"/>
    </i>
    <i>
      <x v="33"/>
    </i>
    <i>
      <x v="23"/>
    </i>
    <i>
      <x v="34"/>
    </i>
    <i>
      <x v="24"/>
    </i>
    <i>
      <x v="28"/>
    </i>
    <i>
      <x v="5"/>
    </i>
    <i>
      <x v="20"/>
    </i>
    <i>
      <x v="29"/>
    </i>
    <i>
      <x v="16"/>
    </i>
    <i>
      <x v="37"/>
    </i>
    <i>
      <x v="2"/>
    </i>
    <i>
      <x v="26"/>
    </i>
    <i>
      <x v="35"/>
    </i>
    <i>
      <x v="25"/>
    </i>
    <i>
      <x v="42"/>
    </i>
    <i>
      <x v="12"/>
    </i>
    <i>
      <x v="9"/>
    </i>
    <i>
      <x v="47"/>
    </i>
    <i>
      <x v="7"/>
    </i>
    <i>
      <x v="4"/>
    </i>
    <i>
      <x v="31"/>
    </i>
    <i>
      <x v="30"/>
    </i>
    <i>
      <x v="17"/>
    </i>
    <i>
      <x v="3"/>
    </i>
    <i>
      <x v="8"/>
    </i>
    <i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s to Inspect Each Workplace Once" fld="10" subtotal="average" baseField="0" baseItem="0"/>
    <dataField name="Average of Rate of Fatalities, 2012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6A22E-1C39-496B-8FA7-2EA44F68D68E}" name="Pivot_StateInsights" cacheId="439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1">
  <location ref="A3:B25" firstHeaderRow="1" firstDataRow="1" firstDataCol="1" rowPageCount="1" colPageCount="1"/>
  <pivotFields count="12">
    <pivotField compact="0" outline="0" showAll="0"/>
    <pivotField axis="axisRow" compact="0" outline="0" showAll="0" sortType="ascending">
      <items count="51">
        <item x="30"/>
        <item x="45"/>
        <item x="10"/>
        <item x="26"/>
        <item x="49"/>
        <item x="33"/>
        <item x="31"/>
        <item x="7"/>
        <item x="11"/>
        <item x="43"/>
        <item x="8"/>
        <item x="38"/>
        <item x="5"/>
        <item x="15"/>
        <item x="9"/>
        <item x="37"/>
        <item x="28"/>
        <item x="42"/>
        <item x="23"/>
        <item x="29"/>
        <item x="2"/>
        <item x="14"/>
        <item x="36"/>
        <item x="41"/>
        <item x="13"/>
        <item x="24"/>
        <item x="6"/>
        <item x="27"/>
        <item x="17"/>
        <item x="46"/>
        <item x="18"/>
        <item x="21"/>
        <item x="16"/>
        <item x="47"/>
        <item x="34"/>
        <item x="4"/>
        <item x="32"/>
        <item x="19"/>
        <item x="44"/>
        <item x="0"/>
        <item x="20"/>
        <item x="3"/>
        <item x="48"/>
        <item x="22"/>
        <item x="25"/>
        <item x="12"/>
        <item x="39"/>
        <item x="1"/>
        <item x="40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 sortType="ascending">
      <items count="3">
        <item h="1" x="1"/>
        <item x="0"/>
        <item t="default"/>
      </items>
    </pivotField>
  </pivotFields>
  <rowFields count="1">
    <field x="1"/>
  </rowFields>
  <rowItems count="22">
    <i>
      <x v="49"/>
    </i>
    <i>
      <x v="1"/>
    </i>
    <i>
      <x v="44"/>
    </i>
    <i>
      <x v="10"/>
    </i>
    <i>
      <x v="30"/>
    </i>
    <i>
      <x v="43"/>
    </i>
    <i>
      <x v="27"/>
    </i>
    <i>
      <x v="39"/>
    </i>
    <i>
      <x v="36"/>
    </i>
    <i>
      <x v="14"/>
    </i>
    <i>
      <x v="16"/>
    </i>
    <i>
      <x v="19"/>
    </i>
    <i>
      <x v="2"/>
    </i>
    <i>
      <x v="41"/>
    </i>
    <i>
      <x v="45"/>
    </i>
    <i>
      <x v="22"/>
    </i>
    <i>
      <x v="32"/>
    </i>
    <i>
      <x v="13"/>
    </i>
    <i>
      <x v="46"/>
    </i>
    <i>
      <x v="21"/>
    </i>
    <i>
      <x v="4"/>
    </i>
    <i t="grand">
      <x/>
    </i>
  </rowItems>
  <colItems count="1">
    <i/>
  </colItems>
  <pageFields count="1">
    <pageField fld="11" hier="-1"/>
  </pageFields>
  <dataFields count="1">
    <dataField name="Sum of Number of Injuries/Illnesses 2012" fld="5" baseField="0" baseItem="0" numFmtId="4"/>
  </dataFields>
  <formats count="4">
    <format dxfId="15">
      <pivotArea outline="0" fieldPosition="0">
        <references count="1">
          <reference field="1" count="1" selected="0">
            <x v="49"/>
          </reference>
        </references>
      </pivotArea>
    </format>
    <format dxfId="16">
      <pivotArea outline="0" fieldPosition="0">
        <references count="1">
          <reference field="1" count="1" selected="0">
            <x v="1"/>
          </reference>
        </references>
      </pivotArea>
    </format>
    <format dxfId="17">
      <pivotArea outline="0" fieldPosition="0">
        <references count="1">
          <reference field="1" count="1" selected="0">
            <x v="44"/>
          </reference>
        </references>
      </pivotArea>
    </format>
    <format dxfId="1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21" selected="0">
              <x v="1"/>
              <x v="2"/>
              <x v="4"/>
              <x v="10"/>
              <x v="13"/>
              <x v="14"/>
              <x v="16"/>
              <x v="19"/>
              <x v="21"/>
              <x v="22"/>
              <x v="27"/>
              <x v="30"/>
              <x v="32"/>
              <x v="36"/>
              <x v="39"/>
              <x v="41"/>
              <x v="43"/>
              <x v="44"/>
              <x v="45"/>
              <x v="46"/>
              <x v="49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F0493-F150-440D-9554-93FD4319A52B}" name="Pivot_ProgramComparison" cacheId="43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6" firstHeaderRow="1" firstDataRow="1" firstDataCol="1"/>
  <pivotFields count="12">
    <pivotField compact="0" outline="0" showAll="0"/>
    <pivotField compact="0" outline="0" showAll="0"/>
    <pivotField compact="0" outline="0" showAll="0"/>
    <pivotField dataField="1" compact="0" outline="0" showAll="0">
      <items count="36">
        <item x="2"/>
        <item x="32"/>
        <item x="26"/>
        <item x="14"/>
        <item x="10"/>
        <item x="17"/>
        <item x="5"/>
        <item x="24"/>
        <item x="11"/>
        <item x="18"/>
        <item x="7"/>
        <item x="19"/>
        <item x="12"/>
        <item x="8"/>
        <item x="0"/>
        <item x="22"/>
        <item x="3"/>
        <item x="29"/>
        <item x="13"/>
        <item x="25"/>
        <item x="15"/>
        <item x="23"/>
        <item x="6"/>
        <item x="21"/>
        <item x="30"/>
        <item x="28"/>
        <item x="4"/>
        <item x="31"/>
        <item x="9"/>
        <item x="16"/>
        <item x="1"/>
        <item x="20"/>
        <item x="33"/>
        <item x="27"/>
        <item x="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Rate of Fatalities, 2012" fld="3" subtotal="average" baseField="0" baseItem="0"/>
  </dataFields>
  <conditionalFormats count="4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2" selected="0">
              <x v="0"/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2" selected="0">
              <x v="0"/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2" selected="0">
              <x v="0"/>
              <x v="1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2" selected="0">
              <x v="0"/>
              <x v="1"/>
            </reference>
          </references>
        </pivotArea>
      </pivotAreas>
    </conditionalFormat>
  </conditional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_or_Federal_Program" xr10:uid="{83504993-9BB2-49F6-9889-0D14EFA601D9}" sourceName="State or Federal Program">
  <pivotTables>
    <pivotTable tabId="4" name="Pivot_ProgramComparison"/>
  </pivotTables>
  <data>
    <tabular pivotCacheId="175783715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or Federal Program" xr10:uid="{216523CD-B60F-4836-BB8C-ABA4D8D7B6D2}" cache="Slicer_State_or_Federal_Program" caption="State or Federal Program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3723D-A723-4CA4-948C-4D0FB74C36C5}" name="Table1" displayName="Table1" ref="A1:L51" totalsRowShown="0" headerRowDxfId="13" dataDxfId="12">
  <autoFilter ref="A1:L51" xr:uid="{CE53723D-A723-4CA4-948C-4D0FB74C36C5}"/>
  <sortState xmlns:xlrd2="http://schemas.microsoft.com/office/spreadsheetml/2017/richdata2" ref="A2:L51">
    <sortCondition ref="F1:F51"/>
  </sortState>
  <tableColumns count="12">
    <tableColumn id="1" xr3:uid="{8C78CDE9-D54A-43FF-9BE1-58BEF4671AD5}" name="State" dataDxfId="11"/>
    <tableColumn id="2" xr3:uid="{B74EB26A-3D4D-4F6E-A900-7C0C6E562D9D}" name="State, without coordinates" dataDxfId="10">
      <calculatedColumnFormula>LEFT(A2, FIND("(", A2) -1)</calculatedColumnFormula>
    </tableColumn>
    <tableColumn id="3" xr3:uid="{161549D5-80EB-442E-9D48-2FE475CE50C2}" name="Number of Fatalities, 2012" dataDxfId="9"/>
    <tableColumn id="4" xr3:uid="{3ACBF228-7DB4-41A5-AE03-3073D20BFDF9}" name="Rate of Fatalities, 2012" dataDxfId="8"/>
    <tableColumn id="5" xr3:uid="{26E56FAA-342A-4389-BF9B-8FD0793258B8}" name="State Rank, Fatalities 2012" dataDxfId="7"/>
    <tableColumn id="6" xr3:uid="{97904517-5867-4017-8312-A17B48A0F3B4}" name="Number of Injuries/Illnesses 2012" dataDxfId="6"/>
    <tableColumn id="7" xr3:uid="{952873C4-16D6-4380-BA62-3F45D9CEE99A}" name="Injuries/Illnesses 2012 Rate" dataDxfId="5"/>
    <tableColumn id="8" xr3:uid="{5F979546-EBD3-48C2-9861-6E6EF28C1947}" name="Penalties FY 2013 (Average $)" dataDxfId="4"/>
    <tableColumn id="9" xr3:uid="{80E10CB4-CE88-40F3-B3BA-0E2AD8B58E96}" name="Penalties FY 2013 (Rank)" dataDxfId="3"/>
    <tableColumn id="10" xr3:uid="{7243DF7A-C170-4AF6-9AED-8F4E98E00B92}" name="Inspectors" dataDxfId="2"/>
    <tableColumn id="11" xr3:uid="{A88C38B9-FC3D-4DC0-A877-610577EA7E67}" name="Years to Inspect Each Workplace Once" dataDxfId="1"/>
    <tableColumn id="12" xr3:uid="{C1ED4E84-CE70-4F77-AD50-4AEED83A1F8E}" name="State or Federal Progr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736-FD01-4F05-B7BD-48A8CC1B83AE}">
  <dimension ref="A1:L5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30.7109375" style="1" customWidth="1"/>
    <col min="2" max="2" width="26.85546875" style="1" bestFit="1" customWidth="1"/>
    <col min="3" max="3" width="26.7109375" style="1" bestFit="1" customWidth="1"/>
    <col min="4" max="4" width="23.5703125" style="1" bestFit="1" customWidth="1"/>
    <col min="5" max="5" width="26.7109375" style="1" bestFit="1" customWidth="1"/>
    <col min="6" max="6" width="33.140625" style="1" bestFit="1" customWidth="1"/>
    <col min="7" max="7" width="27.5703125" style="1" bestFit="1" customWidth="1"/>
    <col min="8" max="8" width="29.42578125" style="7" bestFit="1" customWidth="1"/>
    <col min="9" max="9" width="25" style="1" bestFit="1" customWidth="1"/>
    <col min="10" max="10" width="12.28515625" style="1" bestFit="1" customWidth="1"/>
    <col min="11" max="11" width="34.140625" style="1" bestFit="1" customWidth="1"/>
    <col min="12" max="12" width="25.42578125" style="1" customWidth="1"/>
  </cols>
  <sheetData>
    <row r="1" spans="1:12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tr">
        <f>LEFT(A2, FIND("(", A2) -1)</f>
        <v xml:space="preserve">Florida
</v>
      </c>
      <c r="C2" s="1">
        <v>218</v>
      </c>
      <c r="D2" s="1">
        <v>2.7</v>
      </c>
      <c r="E2" s="1">
        <v>15</v>
      </c>
      <c r="F2" s="1">
        <v>0</v>
      </c>
      <c r="H2" s="7">
        <v>1821</v>
      </c>
      <c r="I2" s="1">
        <v>25</v>
      </c>
      <c r="J2" s="1">
        <v>60</v>
      </c>
      <c r="K2" s="1">
        <v>238</v>
      </c>
      <c r="L2" s="1" t="s">
        <v>13</v>
      </c>
    </row>
    <row r="3" spans="1:12">
      <c r="A3" s="1" t="s">
        <v>14</v>
      </c>
      <c r="B3" s="1" t="str">
        <f>LEFT(A3, FIND("(", A3) -1)</f>
        <v xml:space="preserve">New Hampshire
</v>
      </c>
      <c r="C3" s="1">
        <v>14</v>
      </c>
      <c r="D3" s="1">
        <v>2.2000000000000002</v>
      </c>
      <c r="E3" s="1">
        <v>4</v>
      </c>
      <c r="F3" s="1">
        <v>0</v>
      </c>
      <c r="H3" s="7">
        <v>2243</v>
      </c>
      <c r="I3" s="1">
        <v>8</v>
      </c>
      <c r="J3" s="1">
        <v>7</v>
      </c>
      <c r="K3" s="1">
        <v>119</v>
      </c>
      <c r="L3" s="1" t="s">
        <v>13</v>
      </c>
    </row>
    <row r="4" spans="1:12">
      <c r="A4" s="1" t="s">
        <v>15</v>
      </c>
      <c r="B4" s="1" t="str">
        <f>LEFT(A4, FIND("(", A4) -1)</f>
        <v xml:space="preserve">South Dakota
</v>
      </c>
      <c r="C4" s="1">
        <v>31</v>
      </c>
      <c r="D4" s="1">
        <v>6.7</v>
      </c>
      <c r="E4" s="1">
        <v>45</v>
      </c>
      <c r="F4" s="1">
        <v>0</v>
      </c>
      <c r="H4" s="7">
        <v>2346</v>
      </c>
      <c r="I4" s="1">
        <v>7</v>
      </c>
      <c r="J4" s="1">
        <v>0</v>
      </c>
      <c r="K4" s="1">
        <v>521</v>
      </c>
      <c r="L4" s="1" t="s">
        <v>13</v>
      </c>
    </row>
    <row r="5" spans="1:12">
      <c r="A5" s="1" t="s">
        <v>16</v>
      </c>
      <c r="B5" s="1" t="str">
        <f>LEFT(A5, FIND("(", A5) -1)</f>
        <v xml:space="preserve">Colorado
</v>
      </c>
      <c r="C5" s="1">
        <v>82</v>
      </c>
      <c r="D5" s="1">
        <v>3.5</v>
      </c>
      <c r="E5" s="1">
        <v>25</v>
      </c>
      <c r="F5" s="1">
        <v>0</v>
      </c>
      <c r="H5" s="7">
        <v>1649</v>
      </c>
      <c r="I5" s="1">
        <v>31</v>
      </c>
      <c r="J5" s="1">
        <v>28</v>
      </c>
      <c r="K5" s="1">
        <v>122</v>
      </c>
      <c r="L5" s="1" t="s">
        <v>13</v>
      </c>
    </row>
    <row r="6" spans="1:12">
      <c r="A6" s="1" t="s">
        <v>17</v>
      </c>
      <c r="B6" s="1" t="str">
        <f>LEFT(A6, FIND("(", A6) -1)</f>
        <v xml:space="preserve">Idaho
</v>
      </c>
      <c r="C6" s="1">
        <v>19</v>
      </c>
      <c r="D6" s="1">
        <v>2.7</v>
      </c>
      <c r="E6" s="1">
        <v>15</v>
      </c>
      <c r="F6" s="1">
        <v>0</v>
      </c>
      <c r="H6" s="7">
        <v>1449</v>
      </c>
      <c r="I6" s="1">
        <v>33</v>
      </c>
      <c r="J6" s="1">
        <v>9</v>
      </c>
      <c r="K6" s="1">
        <v>108</v>
      </c>
      <c r="L6" s="1" t="s">
        <v>13</v>
      </c>
    </row>
    <row r="7" spans="1:12">
      <c r="A7" s="1" t="s">
        <v>18</v>
      </c>
      <c r="B7" s="1" t="str">
        <f>LEFT(A7, FIND("(", A7) -1)</f>
        <v xml:space="preserve">Mississippi
</v>
      </c>
      <c r="C7" s="1">
        <v>63</v>
      </c>
      <c r="D7" s="1">
        <v>5.5</v>
      </c>
      <c r="E7" s="1">
        <v>40</v>
      </c>
      <c r="F7" s="1">
        <v>0</v>
      </c>
      <c r="H7" s="7">
        <v>1515</v>
      </c>
      <c r="I7" s="1">
        <v>32</v>
      </c>
      <c r="J7" s="1">
        <v>14</v>
      </c>
      <c r="K7" s="1">
        <v>112</v>
      </c>
      <c r="L7" s="1" t="s">
        <v>13</v>
      </c>
    </row>
    <row r="8" spans="1:12">
      <c r="A8" s="1" t="s">
        <v>19</v>
      </c>
      <c r="B8" s="1" t="str">
        <f>LEFT(A8, FIND("(", A8) -1)</f>
        <v xml:space="preserve">Rhode Island
</v>
      </c>
      <c r="C8" s="1">
        <v>8</v>
      </c>
      <c r="D8" s="1">
        <v>1.7</v>
      </c>
      <c r="E8" s="1">
        <v>2</v>
      </c>
      <c r="F8" s="1">
        <v>0</v>
      </c>
      <c r="H8" s="7">
        <v>2023</v>
      </c>
      <c r="I8" s="1">
        <v>16</v>
      </c>
      <c r="J8" s="1">
        <v>7</v>
      </c>
      <c r="K8" s="1">
        <v>103</v>
      </c>
      <c r="L8" s="1" t="s">
        <v>13</v>
      </c>
    </row>
    <row r="9" spans="1:12">
      <c r="A9" s="1" t="s">
        <v>20</v>
      </c>
      <c r="B9" s="1" t="str">
        <f>LEFT(A9, FIND("(", A9) -1)</f>
        <v xml:space="preserve">North Dakota
</v>
      </c>
      <c r="C9" s="1">
        <v>65</v>
      </c>
      <c r="D9" s="1">
        <v>17.7</v>
      </c>
      <c r="E9" s="1">
        <v>50</v>
      </c>
      <c r="F9" s="1">
        <v>0</v>
      </c>
      <c r="H9" s="7">
        <v>3045</v>
      </c>
      <c r="I9" s="1">
        <v>3</v>
      </c>
      <c r="J9" s="1">
        <v>8</v>
      </c>
      <c r="K9" s="1">
        <v>111</v>
      </c>
      <c r="L9" s="1" t="s">
        <v>13</v>
      </c>
    </row>
    <row r="10" spans="1:12">
      <c r="A10" s="1" t="s">
        <v>21</v>
      </c>
      <c r="B10" s="1" t="str">
        <f>LEFT(A10, FIND("(", A10) -1)</f>
        <v xml:space="preserve">Wyoming
</v>
      </c>
      <c r="C10" s="1">
        <v>35</v>
      </c>
      <c r="D10" s="1">
        <v>12.2</v>
      </c>
      <c r="E10" s="1">
        <v>49</v>
      </c>
      <c r="F10" s="1">
        <v>6500</v>
      </c>
      <c r="G10" s="1">
        <v>3.5</v>
      </c>
      <c r="H10" s="7">
        <v>1777</v>
      </c>
      <c r="I10" s="1">
        <v>28</v>
      </c>
      <c r="J10" s="1">
        <v>9</v>
      </c>
      <c r="K10" s="1">
        <v>101</v>
      </c>
      <c r="L10" s="1" t="s">
        <v>0</v>
      </c>
    </row>
    <row r="11" spans="1:12">
      <c r="A11" s="1" t="s">
        <v>22</v>
      </c>
      <c r="B11" s="1" t="str">
        <f>LEFT(A11, FIND("(", A11) -1)</f>
        <v xml:space="preserve">Delaware
</v>
      </c>
      <c r="C11" s="1">
        <v>14</v>
      </c>
      <c r="D11" s="1">
        <v>3.1</v>
      </c>
      <c r="E11" s="1">
        <v>18</v>
      </c>
      <c r="F11" s="1">
        <v>7900</v>
      </c>
      <c r="G11" s="1">
        <v>2.8</v>
      </c>
      <c r="H11" s="7">
        <v>2406</v>
      </c>
      <c r="I11" s="1">
        <v>6</v>
      </c>
      <c r="J11" s="1">
        <v>5</v>
      </c>
      <c r="K11" s="1">
        <v>175</v>
      </c>
      <c r="L11" s="1" t="s">
        <v>13</v>
      </c>
    </row>
    <row r="12" spans="1:12">
      <c r="A12" s="1" t="s">
        <v>23</v>
      </c>
      <c r="B12" s="1" t="str">
        <f>LEFT(A12, FIND("(", A12) -1)</f>
        <v xml:space="preserve">Alaska
</v>
      </c>
      <c r="C12" s="1">
        <v>31</v>
      </c>
      <c r="D12" s="1">
        <v>8.9</v>
      </c>
      <c r="E12" s="1">
        <v>48</v>
      </c>
      <c r="F12" s="1">
        <v>9700</v>
      </c>
      <c r="G12" s="1">
        <v>4.5999999999999996</v>
      </c>
      <c r="H12" s="7">
        <v>889</v>
      </c>
      <c r="I12" s="1">
        <v>41</v>
      </c>
      <c r="J12" s="1">
        <v>11</v>
      </c>
      <c r="K12" s="1">
        <v>58</v>
      </c>
      <c r="L12" s="1" t="s">
        <v>0</v>
      </c>
    </row>
    <row r="13" spans="1:12">
      <c r="A13" s="1" t="s">
        <v>24</v>
      </c>
      <c r="B13" s="1" t="str">
        <f>LEFT(A13, FIND("(", A13) -1)</f>
        <v xml:space="preserve">Vermont
</v>
      </c>
      <c r="C13" s="1">
        <v>11</v>
      </c>
      <c r="D13" s="1">
        <v>3.5</v>
      </c>
      <c r="E13" s="1">
        <v>25</v>
      </c>
      <c r="F13" s="1">
        <v>9900</v>
      </c>
      <c r="G13" s="1">
        <v>5</v>
      </c>
      <c r="H13" s="7">
        <v>1008</v>
      </c>
      <c r="I13" s="1">
        <v>36</v>
      </c>
      <c r="J13" s="1">
        <v>9</v>
      </c>
      <c r="K13" s="1">
        <v>68</v>
      </c>
      <c r="L13" s="1" t="s">
        <v>0</v>
      </c>
    </row>
    <row r="14" spans="1:12">
      <c r="A14" s="1" t="s">
        <v>25</v>
      </c>
      <c r="B14" s="1" t="str">
        <f>LEFT(A14, FIND("(", A14) -1)</f>
        <v xml:space="preserve">Montana
</v>
      </c>
      <c r="C14" s="1">
        <v>34</v>
      </c>
      <c r="D14" s="1">
        <v>7.3</v>
      </c>
      <c r="E14" s="1">
        <v>47</v>
      </c>
      <c r="F14" s="1">
        <v>13300</v>
      </c>
      <c r="G14" s="1">
        <v>5</v>
      </c>
      <c r="H14" s="7">
        <v>1983</v>
      </c>
      <c r="I14" s="1">
        <v>18</v>
      </c>
      <c r="J14" s="1">
        <v>7</v>
      </c>
      <c r="K14" s="1">
        <v>135</v>
      </c>
      <c r="L14" s="1" t="s">
        <v>13</v>
      </c>
    </row>
    <row r="15" spans="1:12">
      <c r="A15" s="1" t="s">
        <v>26</v>
      </c>
      <c r="B15" s="1" t="str">
        <f>LEFT(A15, FIND("(", A15) -1)</f>
        <v xml:space="preserve">Hawaii
</v>
      </c>
      <c r="C15" s="1">
        <v>20</v>
      </c>
      <c r="D15" s="1">
        <v>3.4</v>
      </c>
      <c r="E15" s="1">
        <v>22</v>
      </c>
      <c r="F15" s="1">
        <v>13700</v>
      </c>
      <c r="G15" s="1">
        <v>3.8</v>
      </c>
      <c r="H15" s="7">
        <v>964</v>
      </c>
      <c r="I15" s="1">
        <v>39</v>
      </c>
      <c r="J15" s="1">
        <v>20</v>
      </c>
      <c r="K15" s="1">
        <v>79</v>
      </c>
      <c r="L15" s="1" t="s">
        <v>0</v>
      </c>
    </row>
    <row r="16" spans="1:12">
      <c r="A16" s="1" t="s">
        <v>27</v>
      </c>
      <c r="B16" s="1" t="str">
        <f>LEFT(A16, FIND("(", A16) -1)</f>
        <v xml:space="preserve">West Virginia
</v>
      </c>
      <c r="C16" s="1">
        <v>49</v>
      </c>
      <c r="D16" s="1">
        <v>6.9</v>
      </c>
      <c r="E16" s="1">
        <v>46</v>
      </c>
      <c r="F16" s="1">
        <v>19800</v>
      </c>
      <c r="G16" s="1">
        <v>4.0999999999999996</v>
      </c>
      <c r="H16" s="7">
        <v>1798</v>
      </c>
      <c r="I16" s="1">
        <v>27</v>
      </c>
      <c r="J16" s="1">
        <v>7</v>
      </c>
      <c r="K16" s="1">
        <v>173</v>
      </c>
      <c r="L16" s="1" t="s">
        <v>13</v>
      </c>
    </row>
    <row r="17" spans="1:12">
      <c r="A17" s="1" t="s">
        <v>28</v>
      </c>
      <c r="B17" s="1" t="str">
        <f>LEFT(A17, FIND("(", A17) -1)</f>
        <v xml:space="preserve">New Mexico
</v>
      </c>
      <c r="C17" s="1">
        <v>39</v>
      </c>
      <c r="D17" s="1">
        <v>4.8</v>
      </c>
      <c r="E17" s="1">
        <v>35</v>
      </c>
      <c r="F17" s="1">
        <v>19900</v>
      </c>
      <c r="G17" s="1">
        <v>3.9</v>
      </c>
      <c r="H17" s="7">
        <v>998</v>
      </c>
      <c r="I17" s="1">
        <v>37</v>
      </c>
      <c r="J17" s="1">
        <v>9</v>
      </c>
      <c r="K17" s="1">
        <v>191</v>
      </c>
      <c r="L17" s="1" t="s">
        <v>0</v>
      </c>
    </row>
    <row r="18" spans="1:12">
      <c r="A18" s="1" t="s">
        <v>29</v>
      </c>
      <c r="B18" s="1" t="str">
        <f>LEFT(A18, FIND("(", A18) -1)</f>
        <v xml:space="preserve">Maine
</v>
      </c>
      <c r="C18" s="1">
        <v>19</v>
      </c>
      <c r="D18" s="1">
        <v>3.2</v>
      </c>
      <c r="E18" s="1">
        <v>20</v>
      </c>
      <c r="F18" s="1">
        <v>21200</v>
      </c>
      <c r="G18" s="1">
        <v>5.6</v>
      </c>
      <c r="H18" s="7">
        <v>2083</v>
      </c>
      <c r="I18" s="1">
        <v>14</v>
      </c>
      <c r="J18" s="1">
        <v>8</v>
      </c>
      <c r="K18" s="1">
        <v>80</v>
      </c>
      <c r="L18" s="1" t="s">
        <v>13</v>
      </c>
    </row>
    <row r="19" spans="1:12">
      <c r="A19" s="1" t="s">
        <v>30</v>
      </c>
      <c r="B19" s="1" t="str">
        <f>LEFT(A19, FIND("(", A19) -1)</f>
        <v xml:space="preserve">Nebraska
</v>
      </c>
      <c r="C19" s="1">
        <v>48</v>
      </c>
      <c r="D19" s="1">
        <v>5.2</v>
      </c>
      <c r="E19" s="1">
        <v>38</v>
      </c>
      <c r="F19" s="1">
        <v>24300</v>
      </c>
      <c r="G19" s="1">
        <v>3.9</v>
      </c>
      <c r="H19" s="7">
        <v>2565</v>
      </c>
      <c r="I19" s="1">
        <v>5</v>
      </c>
      <c r="J19" s="1">
        <v>9</v>
      </c>
      <c r="K19" s="1">
        <v>128</v>
      </c>
      <c r="L19" s="1" t="s">
        <v>13</v>
      </c>
    </row>
    <row r="20" spans="1:12">
      <c r="A20" s="1" t="s">
        <v>31</v>
      </c>
      <c r="B20" s="1" t="str">
        <f>LEFT(A20, FIND("(", A20) -1)</f>
        <v xml:space="preserve">Arkansas
</v>
      </c>
      <c r="C20" s="1">
        <v>63</v>
      </c>
      <c r="D20" s="1">
        <v>5.4</v>
      </c>
      <c r="E20" s="1">
        <v>39</v>
      </c>
      <c r="F20" s="1">
        <v>26600</v>
      </c>
      <c r="G20" s="1">
        <v>3.2</v>
      </c>
      <c r="H20" s="7">
        <v>2569</v>
      </c>
      <c r="I20" s="1">
        <v>4</v>
      </c>
      <c r="J20" s="1">
        <v>9</v>
      </c>
      <c r="K20" s="1">
        <v>237</v>
      </c>
      <c r="L20" s="1" t="s">
        <v>13</v>
      </c>
    </row>
    <row r="21" spans="1:12">
      <c r="A21" s="1" t="s">
        <v>32</v>
      </c>
      <c r="B21" s="1" t="str">
        <f>LEFT(A21, FIND("(", A21) -1)</f>
        <v xml:space="preserve">Utah
</v>
      </c>
      <c r="C21" s="1">
        <v>39</v>
      </c>
      <c r="D21" s="1">
        <v>3</v>
      </c>
      <c r="E21" s="1">
        <v>17</v>
      </c>
      <c r="F21" s="1">
        <v>27700</v>
      </c>
      <c r="G21" s="1">
        <v>3.4</v>
      </c>
      <c r="H21" s="7">
        <v>1053</v>
      </c>
      <c r="I21" s="1">
        <v>35</v>
      </c>
      <c r="J21" s="1">
        <v>22</v>
      </c>
      <c r="K21" s="1">
        <v>81</v>
      </c>
      <c r="L21" s="1" t="s">
        <v>0</v>
      </c>
    </row>
    <row r="22" spans="1:12">
      <c r="A22" s="1" t="s">
        <v>33</v>
      </c>
      <c r="B22" s="1" t="str">
        <f>LEFT(A22, FIND("(", A22) -1)</f>
        <v xml:space="preserve">Louisiana
</v>
      </c>
      <c r="C22" s="1">
        <v>116</v>
      </c>
      <c r="D22" s="1">
        <v>6.4</v>
      </c>
      <c r="E22" s="1">
        <v>43</v>
      </c>
      <c r="F22" s="1">
        <v>30600</v>
      </c>
      <c r="G22" s="1">
        <v>2.2999999999999998</v>
      </c>
      <c r="H22" s="7">
        <v>1765</v>
      </c>
      <c r="I22" s="1">
        <v>29</v>
      </c>
      <c r="J22" s="1">
        <v>16</v>
      </c>
      <c r="K22" s="1">
        <v>206</v>
      </c>
      <c r="L22" s="1" t="s">
        <v>13</v>
      </c>
    </row>
    <row r="23" spans="1:12">
      <c r="A23" s="1" t="s">
        <v>34</v>
      </c>
      <c r="B23" s="1" t="str">
        <f>LEFT(A23, FIND("(", A23) -1)</f>
        <v xml:space="preserve">Nevada
</v>
      </c>
      <c r="C23" s="1">
        <v>42</v>
      </c>
      <c r="D23" s="1">
        <v>3.6</v>
      </c>
      <c r="E23" s="1">
        <v>29</v>
      </c>
      <c r="F23" s="1">
        <v>32400</v>
      </c>
      <c r="G23" s="1">
        <v>4.0999999999999996</v>
      </c>
      <c r="H23" s="7">
        <v>2133</v>
      </c>
      <c r="I23" s="1">
        <v>13</v>
      </c>
      <c r="J23" s="1">
        <v>44</v>
      </c>
      <c r="K23" s="1">
        <v>49</v>
      </c>
      <c r="L23" s="1" t="s">
        <v>0</v>
      </c>
    </row>
    <row r="24" spans="1:12">
      <c r="A24" s="1" t="s">
        <v>35</v>
      </c>
      <c r="B24" s="1" t="str">
        <f>LEFT(A24, FIND("(", A24) -1)</f>
        <v xml:space="preserve">Kansas
</v>
      </c>
      <c r="C24" s="1">
        <v>76</v>
      </c>
      <c r="D24" s="1">
        <v>5.7</v>
      </c>
      <c r="E24" s="1">
        <v>41</v>
      </c>
      <c r="F24" s="1">
        <v>33400</v>
      </c>
      <c r="G24" s="1">
        <v>3.6</v>
      </c>
      <c r="H24" s="7">
        <v>1971</v>
      </c>
      <c r="I24" s="1">
        <v>19</v>
      </c>
      <c r="J24" s="1">
        <v>16</v>
      </c>
      <c r="K24" s="1">
        <v>110</v>
      </c>
      <c r="L24" s="1" t="s">
        <v>13</v>
      </c>
    </row>
    <row r="25" spans="1:12">
      <c r="A25" s="1" t="s">
        <v>36</v>
      </c>
      <c r="B25" s="1" t="str">
        <f>LEFT(A25, FIND("(", A25) -1)</f>
        <v xml:space="preserve">South Carolina
</v>
      </c>
      <c r="C25" s="1">
        <v>63</v>
      </c>
      <c r="D25" s="1">
        <v>3.5</v>
      </c>
      <c r="E25" s="1">
        <v>25</v>
      </c>
      <c r="F25" s="1">
        <v>36200</v>
      </c>
      <c r="G25" s="1">
        <v>3</v>
      </c>
      <c r="H25" s="7">
        <v>492</v>
      </c>
      <c r="I25" s="1">
        <v>49</v>
      </c>
      <c r="J25" s="1">
        <v>24</v>
      </c>
      <c r="K25" s="1">
        <v>111</v>
      </c>
      <c r="L25" s="1" t="s">
        <v>0</v>
      </c>
    </row>
    <row r="26" spans="1:12">
      <c r="A26" s="1" t="s">
        <v>37</v>
      </c>
      <c r="B26" s="1" t="str">
        <f>LEFT(A26, FIND("(", A26) -1)</f>
        <v xml:space="preserve">Oklahoma
</v>
      </c>
      <c r="C26" s="1">
        <v>97</v>
      </c>
      <c r="D26" s="1">
        <v>6.1</v>
      </c>
      <c r="E26" s="1">
        <v>42</v>
      </c>
      <c r="F26" s="1">
        <v>39000</v>
      </c>
      <c r="G26" s="1">
        <v>3.6</v>
      </c>
      <c r="H26" s="7">
        <v>1872</v>
      </c>
      <c r="I26" s="1">
        <v>24</v>
      </c>
      <c r="J26" s="1">
        <v>19</v>
      </c>
      <c r="K26" s="1">
        <v>131</v>
      </c>
      <c r="L26" s="1" t="s">
        <v>13</v>
      </c>
    </row>
    <row r="27" spans="1:12">
      <c r="A27" s="1" t="s">
        <v>38</v>
      </c>
      <c r="B27" s="1" t="str">
        <f>LEFT(A27, FIND("(", A27) -1)</f>
        <v xml:space="preserve">Alabama
</v>
      </c>
      <c r="C27" s="1">
        <v>84</v>
      </c>
      <c r="D27" s="1">
        <v>4.3</v>
      </c>
      <c r="E27" s="1">
        <v>34</v>
      </c>
      <c r="F27" s="1">
        <v>41200</v>
      </c>
      <c r="G27" s="1">
        <v>3.3</v>
      </c>
      <c r="H27" s="7">
        <v>1803</v>
      </c>
      <c r="I27" s="1">
        <v>26</v>
      </c>
      <c r="J27" s="1">
        <v>24</v>
      </c>
      <c r="K27" s="1">
        <v>94</v>
      </c>
      <c r="L27" s="1" t="s">
        <v>13</v>
      </c>
    </row>
    <row r="28" spans="1:12">
      <c r="A28" s="1" t="s">
        <v>39</v>
      </c>
      <c r="B28" s="1" t="str">
        <f>LEFT(A28, FIND("(", A28) -1)</f>
        <v xml:space="preserve">Oregon
</v>
      </c>
      <c r="C28" s="1">
        <v>43</v>
      </c>
      <c r="D28" s="1">
        <v>2.6</v>
      </c>
      <c r="E28" s="1">
        <v>12</v>
      </c>
      <c r="F28" s="1">
        <v>42900</v>
      </c>
      <c r="G28" s="1">
        <v>3.9</v>
      </c>
      <c r="H28" s="7">
        <v>363</v>
      </c>
      <c r="I28" s="1">
        <v>50</v>
      </c>
      <c r="J28" s="1">
        <v>75</v>
      </c>
      <c r="K28" s="1">
        <v>31</v>
      </c>
      <c r="L28" s="1" t="s">
        <v>0</v>
      </c>
    </row>
    <row r="29" spans="1:12">
      <c r="A29" s="1" t="s">
        <v>40</v>
      </c>
      <c r="B29" s="1" t="str">
        <f>LEFT(A29, FIND("(", A29) -1)</f>
        <v xml:space="preserve">Connecticut
</v>
      </c>
      <c r="C29" s="1">
        <v>36</v>
      </c>
      <c r="D29" s="1">
        <v>2.1</v>
      </c>
      <c r="E29" s="1">
        <v>3</v>
      </c>
      <c r="F29" s="1">
        <v>43800</v>
      </c>
      <c r="G29" s="1">
        <v>3.9</v>
      </c>
      <c r="H29" s="7">
        <v>1735</v>
      </c>
      <c r="I29" s="1">
        <v>30</v>
      </c>
      <c r="J29" s="1">
        <v>24</v>
      </c>
      <c r="K29" s="1">
        <v>107</v>
      </c>
      <c r="L29" s="1" t="s">
        <v>13</v>
      </c>
    </row>
    <row r="30" spans="1:12">
      <c r="A30" s="1" t="s">
        <v>41</v>
      </c>
      <c r="B30" s="1" t="str">
        <f>LEFT(A30, FIND("(", A30) -1)</f>
        <v xml:space="preserve">Iowa
</v>
      </c>
      <c r="C30" s="1">
        <v>97</v>
      </c>
      <c r="D30" s="1">
        <v>6.6</v>
      </c>
      <c r="E30" s="1">
        <v>44</v>
      </c>
      <c r="F30" s="1">
        <v>45600</v>
      </c>
      <c r="G30" s="1">
        <v>4.5</v>
      </c>
      <c r="H30" s="7">
        <v>790</v>
      </c>
      <c r="I30" s="1">
        <v>43</v>
      </c>
      <c r="J30" s="1">
        <v>26</v>
      </c>
      <c r="K30" s="1">
        <v>98</v>
      </c>
      <c r="L30" s="1" t="s">
        <v>0</v>
      </c>
    </row>
    <row r="31" spans="1:12">
      <c r="A31" s="1" t="s">
        <v>42</v>
      </c>
      <c r="B31" s="1" t="str">
        <f>LEFT(A31, FIND("(", A31) -1)</f>
        <v xml:space="preserve">Kentucky
</v>
      </c>
      <c r="C31" s="1">
        <v>91</v>
      </c>
      <c r="D31" s="1">
        <v>4.9000000000000004</v>
      </c>
      <c r="E31" s="1">
        <v>37</v>
      </c>
      <c r="F31" s="1">
        <v>48900</v>
      </c>
      <c r="G31" s="1">
        <v>4.0999999999999996</v>
      </c>
      <c r="H31" s="7">
        <v>3254</v>
      </c>
      <c r="I31" s="1">
        <v>2</v>
      </c>
      <c r="J31" s="1">
        <v>39</v>
      </c>
      <c r="K31" s="1">
        <v>124</v>
      </c>
      <c r="L31" s="1" t="s">
        <v>0</v>
      </c>
    </row>
    <row r="32" spans="1:12">
      <c r="A32" s="1" t="s">
        <v>43</v>
      </c>
      <c r="B32" s="1" t="str">
        <f>LEFT(A32, FIND("(", A32) -1)</f>
        <v xml:space="preserve">Maryland
</v>
      </c>
      <c r="C32" s="1">
        <v>72</v>
      </c>
      <c r="D32" s="1">
        <v>2.6</v>
      </c>
      <c r="E32" s="1">
        <v>12</v>
      </c>
      <c r="F32" s="1">
        <v>51900</v>
      </c>
      <c r="G32" s="1">
        <v>3.1</v>
      </c>
      <c r="H32" s="7">
        <v>685</v>
      </c>
      <c r="I32" s="1">
        <v>47</v>
      </c>
      <c r="J32" s="1">
        <v>48</v>
      </c>
      <c r="K32" s="1">
        <v>108</v>
      </c>
      <c r="L32" s="1" t="s">
        <v>0</v>
      </c>
    </row>
    <row r="33" spans="1:12">
      <c r="A33" s="1" t="s">
        <v>44</v>
      </c>
      <c r="B33" s="1" t="str">
        <f>LEFT(A33, FIND("(", A33) -1)</f>
        <v xml:space="preserve">Arizona
</v>
      </c>
      <c r="C33" s="1">
        <v>60</v>
      </c>
      <c r="D33" s="1">
        <v>2.2999999999999998</v>
      </c>
      <c r="E33" s="1">
        <v>6</v>
      </c>
      <c r="F33" s="1">
        <v>54400</v>
      </c>
      <c r="G33" s="1">
        <v>3.2</v>
      </c>
      <c r="H33" s="7">
        <v>891</v>
      </c>
      <c r="I33" s="1">
        <v>40</v>
      </c>
      <c r="J33" s="1">
        <v>30</v>
      </c>
      <c r="K33" s="1">
        <v>126</v>
      </c>
      <c r="L33" s="1" t="s">
        <v>0</v>
      </c>
    </row>
    <row r="34" spans="1:12">
      <c r="A34" s="1" t="s">
        <v>45</v>
      </c>
      <c r="B34" s="1" t="str">
        <f>LEFT(A34, FIND("(", A34) -1)</f>
        <v xml:space="preserve">Missouri
</v>
      </c>
      <c r="C34" s="1">
        <v>88</v>
      </c>
      <c r="D34" s="1">
        <v>3.3</v>
      </c>
      <c r="E34" s="1">
        <v>21</v>
      </c>
      <c r="F34" s="1">
        <v>60300</v>
      </c>
      <c r="G34" s="1">
        <v>3.3</v>
      </c>
      <c r="H34" s="7">
        <v>1931</v>
      </c>
      <c r="I34" s="1">
        <v>20</v>
      </c>
      <c r="J34" s="1">
        <v>26</v>
      </c>
      <c r="K34" s="1">
        <v>118</v>
      </c>
      <c r="L34" s="1" t="s">
        <v>13</v>
      </c>
    </row>
    <row r="35" spans="1:12">
      <c r="A35" s="1" t="s">
        <v>46</v>
      </c>
      <c r="B35" s="1" t="str">
        <f>LEFT(A35, FIND("(", A35) -1)</f>
        <v xml:space="preserve">Tennessee
</v>
      </c>
      <c r="C35" s="1">
        <v>101</v>
      </c>
      <c r="D35" s="1">
        <v>3.8</v>
      </c>
      <c r="E35" s="1">
        <v>30</v>
      </c>
      <c r="F35" s="1">
        <v>65100</v>
      </c>
      <c r="G35" s="1">
        <v>3.5</v>
      </c>
      <c r="H35" s="7">
        <v>727</v>
      </c>
      <c r="I35" s="1">
        <v>45</v>
      </c>
      <c r="J35" s="1">
        <v>30</v>
      </c>
      <c r="K35" s="1">
        <v>82</v>
      </c>
      <c r="L35" s="1" t="s">
        <v>0</v>
      </c>
    </row>
    <row r="36" spans="1:12">
      <c r="A36" s="1" t="s">
        <v>47</v>
      </c>
      <c r="B36" s="1" t="str">
        <f>LEFT(A36, FIND("(", A36) -1)</f>
        <v xml:space="preserve">Virginia
</v>
      </c>
      <c r="C36" s="1">
        <v>149</v>
      </c>
      <c r="D36" s="1">
        <v>3.8</v>
      </c>
      <c r="E36" s="1">
        <v>30</v>
      </c>
      <c r="F36" s="1">
        <v>66200</v>
      </c>
      <c r="G36" s="1">
        <v>2.7</v>
      </c>
      <c r="H36" s="7">
        <v>726</v>
      </c>
      <c r="I36" s="1">
        <v>46</v>
      </c>
      <c r="J36" s="1">
        <v>48</v>
      </c>
      <c r="K36" s="1">
        <v>82</v>
      </c>
      <c r="L36" s="1" t="s">
        <v>0</v>
      </c>
    </row>
    <row r="37" spans="1:12">
      <c r="A37" s="1" t="s">
        <v>48</v>
      </c>
      <c r="B37" s="1" t="str">
        <f>LEFT(A37, FIND("(", A37) -1)</f>
        <v xml:space="preserve">Minnesota
</v>
      </c>
      <c r="C37" s="1">
        <v>70</v>
      </c>
      <c r="D37" s="1">
        <v>2.6</v>
      </c>
      <c r="E37" s="1">
        <v>12</v>
      </c>
      <c r="F37" s="1">
        <v>67500</v>
      </c>
      <c r="G37" s="1">
        <v>3.8</v>
      </c>
      <c r="H37" s="7">
        <v>768</v>
      </c>
      <c r="I37" s="1">
        <v>44</v>
      </c>
      <c r="J37" s="1">
        <v>58</v>
      </c>
      <c r="K37" s="1">
        <v>57</v>
      </c>
      <c r="L37" s="1" t="s">
        <v>0</v>
      </c>
    </row>
    <row r="38" spans="1:12">
      <c r="A38" s="1" t="s">
        <v>49</v>
      </c>
      <c r="B38" s="1" t="str">
        <f>LEFT(A38, FIND("(", A38) -1)</f>
        <v xml:space="preserve">Massachusetts
</v>
      </c>
      <c r="C38" s="1">
        <v>44</v>
      </c>
      <c r="D38" s="1">
        <v>1.4</v>
      </c>
      <c r="E38" s="1">
        <v>1</v>
      </c>
      <c r="F38" s="1">
        <v>69700</v>
      </c>
      <c r="G38" s="1">
        <v>3.1</v>
      </c>
      <c r="H38" s="7">
        <v>1929</v>
      </c>
      <c r="I38" s="1">
        <v>21</v>
      </c>
      <c r="J38" s="1">
        <v>33</v>
      </c>
      <c r="K38" s="1">
        <v>123</v>
      </c>
      <c r="L38" s="1" t="s">
        <v>13</v>
      </c>
    </row>
    <row r="39" spans="1:12">
      <c r="A39" s="1" t="s">
        <v>50</v>
      </c>
      <c r="B39" s="1" t="str">
        <f>LEFT(A39, FIND("(", A39) -1)</f>
        <v xml:space="preserve">Wisconsin
</v>
      </c>
      <c r="C39" s="1">
        <v>114</v>
      </c>
      <c r="D39" s="1">
        <v>4</v>
      </c>
      <c r="E39" s="1">
        <v>32</v>
      </c>
      <c r="F39" s="1">
        <v>72900</v>
      </c>
      <c r="G39" s="1">
        <v>4</v>
      </c>
      <c r="H39" s="7">
        <v>2207</v>
      </c>
      <c r="I39" s="1">
        <v>9</v>
      </c>
      <c r="J39" s="1">
        <v>36</v>
      </c>
      <c r="K39" s="1">
        <v>104</v>
      </c>
      <c r="L39" s="1" t="s">
        <v>13</v>
      </c>
    </row>
    <row r="40" spans="1:12">
      <c r="A40" s="1" t="s">
        <v>51</v>
      </c>
      <c r="B40" s="1" t="str">
        <f>LEFT(A40, FIND("(", A40) -1)</f>
        <v xml:space="preserve">Georgia
</v>
      </c>
      <c r="C40" s="1">
        <v>101</v>
      </c>
      <c r="D40" s="1">
        <v>2.5</v>
      </c>
      <c r="E40" s="1">
        <v>10</v>
      </c>
      <c r="F40" s="1">
        <v>74800</v>
      </c>
      <c r="G40" s="1">
        <v>2.8</v>
      </c>
      <c r="H40" s="7">
        <v>2061</v>
      </c>
      <c r="I40" s="1">
        <v>15</v>
      </c>
      <c r="J40" s="1">
        <v>49</v>
      </c>
      <c r="K40" s="1">
        <v>138</v>
      </c>
      <c r="L40" s="1" t="s">
        <v>13</v>
      </c>
    </row>
    <row r="41" spans="1:12">
      <c r="A41" s="1" t="s">
        <v>52</v>
      </c>
      <c r="B41" s="1" t="str">
        <f>LEFT(A41, FIND("(", A41) -1)</f>
        <v xml:space="preserve">North Carolina
</v>
      </c>
      <c r="C41" s="1">
        <v>146</v>
      </c>
      <c r="D41" s="1">
        <v>3.5</v>
      </c>
      <c r="E41" s="1">
        <v>25</v>
      </c>
      <c r="F41" s="1">
        <v>75900</v>
      </c>
      <c r="G41" s="1">
        <v>2.9</v>
      </c>
      <c r="H41" s="7">
        <v>996</v>
      </c>
      <c r="I41" s="1">
        <v>38</v>
      </c>
      <c r="J41" s="1">
        <v>104</v>
      </c>
      <c r="K41" s="1">
        <v>60</v>
      </c>
      <c r="L41" s="1" t="s">
        <v>0</v>
      </c>
    </row>
    <row r="42" spans="1:12">
      <c r="A42" s="1" t="s">
        <v>53</v>
      </c>
      <c r="B42" s="1" t="str">
        <f>LEFT(A42, FIND("(", A42) -1)</f>
        <v xml:space="preserve">Indiana
</v>
      </c>
      <c r="C42" s="1">
        <v>115</v>
      </c>
      <c r="D42" s="1">
        <v>4.2</v>
      </c>
      <c r="E42" s="1">
        <v>33</v>
      </c>
      <c r="F42" s="1">
        <v>77900</v>
      </c>
      <c r="G42" s="1">
        <v>3.9</v>
      </c>
      <c r="H42" s="7">
        <v>1054</v>
      </c>
      <c r="I42" s="1">
        <v>34</v>
      </c>
      <c r="J42" s="1">
        <v>39</v>
      </c>
      <c r="K42" s="1">
        <v>104</v>
      </c>
      <c r="L42" s="1" t="s">
        <v>0</v>
      </c>
    </row>
    <row r="43" spans="1:12">
      <c r="A43" s="1" t="s">
        <v>54</v>
      </c>
      <c r="B43" s="1" t="str">
        <f>LEFT(A43, FIND("(", A43) -1)</f>
        <v xml:space="preserve">New Jersey
</v>
      </c>
      <c r="C43" s="1">
        <v>92</v>
      </c>
      <c r="D43" s="1">
        <v>2.4</v>
      </c>
      <c r="E43" s="1">
        <v>8</v>
      </c>
      <c r="F43" s="1">
        <v>80900</v>
      </c>
      <c r="G43" s="1">
        <v>3.1</v>
      </c>
      <c r="H43" s="7">
        <v>2151</v>
      </c>
      <c r="I43" s="1">
        <v>12</v>
      </c>
      <c r="J43" s="1">
        <v>67</v>
      </c>
      <c r="K43" s="1">
        <v>123</v>
      </c>
      <c r="L43" s="1" t="s">
        <v>13</v>
      </c>
    </row>
    <row r="44" spans="1:12">
      <c r="A44" s="1" t="s">
        <v>55</v>
      </c>
      <c r="B44" s="1" t="str">
        <f>LEFT(A44, FIND("(", A44) -1)</f>
        <v xml:space="preserve">Washington
</v>
      </c>
      <c r="C44" s="1">
        <v>67</v>
      </c>
      <c r="D44" s="1">
        <v>2.2000000000000002</v>
      </c>
      <c r="E44" s="1">
        <v>4</v>
      </c>
      <c r="F44" s="1">
        <v>89300</v>
      </c>
      <c r="G44" s="1">
        <v>4.8</v>
      </c>
      <c r="H44" s="7">
        <v>791</v>
      </c>
      <c r="I44" s="1">
        <v>42</v>
      </c>
      <c r="J44" s="1">
        <v>111</v>
      </c>
      <c r="K44" s="1">
        <v>50</v>
      </c>
      <c r="L44" s="1" t="s">
        <v>0</v>
      </c>
    </row>
    <row r="45" spans="1:12">
      <c r="A45" s="1" t="s">
        <v>56</v>
      </c>
      <c r="B45" s="1" t="str">
        <f>LEFT(A45, FIND("(", A45) -1)</f>
        <v xml:space="preserve">Michigan
</v>
      </c>
      <c r="C45" s="1">
        <v>137</v>
      </c>
      <c r="D45" s="1">
        <v>3.4</v>
      </c>
      <c r="E45" s="1">
        <v>22</v>
      </c>
      <c r="F45" s="1">
        <v>105500</v>
      </c>
      <c r="G45" s="1">
        <v>4</v>
      </c>
      <c r="H45" s="7">
        <v>542</v>
      </c>
      <c r="I45" s="1">
        <v>48</v>
      </c>
      <c r="J45" s="1">
        <v>63</v>
      </c>
      <c r="K45" s="1">
        <v>45</v>
      </c>
      <c r="L45" s="1" t="s">
        <v>0</v>
      </c>
    </row>
    <row r="46" spans="1:12">
      <c r="A46" s="1" t="s">
        <v>57</v>
      </c>
      <c r="B46" s="1" t="str">
        <f>LEFT(A46, FIND("(", A46) -1)</f>
        <v xml:space="preserve">Ohio
</v>
      </c>
      <c r="C46" s="1">
        <v>161</v>
      </c>
      <c r="D46" s="1">
        <v>3.1</v>
      </c>
      <c r="E46" s="1">
        <v>18</v>
      </c>
      <c r="F46" s="1">
        <v>113600</v>
      </c>
      <c r="G46" s="1">
        <v>3.2</v>
      </c>
      <c r="H46" s="7">
        <v>2156</v>
      </c>
      <c r="I46" s="1">
        <v>11</v>
      </c>
      <c r="J46" s="1">
        <v>53</v>
      </c>
      <c r="K46" s="1">
        <v>112</v>
      </c>
      <c r="L46" s="1" t="s">
        <v>13</v>
      </c>
    </row>
    <row r="47" spans="1:12">
      <c r="A47" s="1" t="s">
        <v>58</v>
      </c>
      <c r="B47" s="1" t="str">
        <f>LEFT(A47, FIND("(", A47) -1)</f>
        <v xml:space="preserve">Illinois
</v>
      </c>
      <c r="C47" s="1">
        <v>146</v>
      </c>
      <c r="D47" s="1">
        <v>2.5</v>
      </c>
      <c r="E47" s="1">
        <v>10</v>
      </c>
      <c r="F47" s="1">
        <v>124900</v>
      </c>
      <c r="G47" s="1">
        <v>3.2</v>
      </c>
      <c r="H47" s="7">
        <v>1876</v>
      </c>
      <c r="I47" s="1">
        <v>23</v>
      </c>
      <c r="J47" s="1">
        <v>74</v>
      </c>
      <c r="K47" s="1">
        <v>137</v>
      </c>
      <c r="L47" s="1" t="s">
        <v>13</v>
      </c>
    </row>
    <row r="48" spans="1:12">
      <c r="A48" s="1" t="s">
        <v>59</v>
      </c>
      <c r="B48" s="1" t="str">
        <f>LEFT(A48, FIND("(", A48) -1)</f>
        <v xml:space="preserve">New York
</v>
      </c>
      <c r="C48" s="1">
        <v>202</v>
      </c>
      <c r="D48" s="1">
        <v>2.4</v>
      </c>
      <c r="E48" s="1">
        <v>8</v>
      </c>
      <c r="F48" s="1">
        <v>146300</v>
      </c>
      <c r="G48" s="1">
        <v>2.5</v>
      </c>
      <c r="H48" s="7">
        <v>2016</v>
      </c>
      <c r="I48" s="1">
        <v>17</v>
      </c>
      <c r="J48" s="1">
        <v>105</v>
      </c>
      <c r="K48" s="1">
        <v>184</v>
      </c>
      <c r="L48" s="1" t="s">
        <v>13</v>
      </c>
    </row>
    <row r="49" spans="1:12">
      <c r="A49" s="1" t="s">
        <v>60</v>
      </c>
      <c r="B49" s="1" t="str">
        <f>LEFT(A49, FIND("(", A49) -1)</f>
        <v xml:space="preserve">Pennsylvania
</v>
      </c>
      <c r="C49" s="1">
        <v>194</v>
      </c>
      <c r="D49" s="1">
        <v>3.4</v>
      </c>
      <c r="E49" s="1">
        <v>22</v>
      </c>
      <c r="F49" s="1">
        <v>155300</v>
      </c>
      <c r="G49" s="1">
        <v>3.9</v>
      </c>
      <c r="H49" s="7">
        <v>1916</v>
      </c>
      <c r="I49" s="1">
        <v>22</v>
      </c>
      <c r="J49" s="1">
        <v>57</v>
      </c>
      <c r="K49" s="1">
        <v>125</v>
      </c>
      <c r="L49" s="1" t="s">
        <v>13</v>
      </c>
    </row>
    <row r="50" spans="1:12">
      <c r="A50" s="1" t="s">
        <v>61</v>
      </c>
      <c r="B50" s="1" t="str">
        <f>LEFT(A50, FIND("(", A50) -1)</f>
        <v xml:space="preserve">Texas
</v>
      </c>
      <c r="C50" s="1">
        <v>536</v>
      </c>
      <c r="D50" s="1">
        <v>4.8</v>
      </c>
      <c r="E50" s="1">
        <v>35</v>
      </c>
      <c r="F50" s="1">
        <v>203200</v>
      </c>
      <c r="G50" s="1">
        <v>2.7</v>
      </c>
      <c r="H50" s="7">
        <v>2187</v>
      </c>
      <c r="I50" s="1">
        <v>10</v>
      </c>
      <c r="J50" s="1">
        <v>98</v>
      </c>
      <c r="K50" s="1">
        <v>136</v>
      </c>
      <c r="L50" s="1" t="s">
        <v>13</v>
      </c>
    </row>
    <row r="51" spans="1:12">
      <c r="A51" s="1" t="s">
        <v>62</v>
      </c>
      <c r="B51" s="1" t="str">
        <f>LEFT(A51, FIND("(", A51) -1)</f>
        <v xml:space="preserve">California
</v>
      </c>
      <c r="C51" s="1">
        <v>375</v>
      </c>
      <c r="D51" s="1">
        <v>2.2999999999999998</v>
      </c>
      <c r="E51" s="1">
        <v>6</v>
      </c>
      <c r="F51" s="1">
        <v>345400</v>
      </c>
      <c r="G51" s="1">
        <v>3.5</v>
      </c>
      <c r="H51" s="7">
        <v>6422</v>
      </c>
      <c r="I51" s="1">
        <v>1</v>
      </c>
      <c r="J51" s="1">
        <v>216</v>
      </c>
      <c r="K51" s="1">
        <v>179</v>
      </c>
      <c r="L51" s="1" t="s">
        <v>0</v>
      </c>
    </row>
    <row r="55" spans="1:12">
      <c r="A55" s="1" t="s">
        <v>63</v>
      </c>
      <c r="C55" s="1">
        <v>4628</v>
      </c>
      <c r="D55" s="1">
        <v>3.4</v>
      </c>
      <c r="G55" s="1">
        <v>3.4</v>
      </c>
    </row>
  </sheetData>
  <conditionalFormatting sqref="A2:L51">
    <cfRule type="containsBlanks" dxfId="14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D847-90BE-4EF2-A981-8E23425A6FE9}">
  <dimension ref="A1"/>
  <sheetViews>
    <sheetView workbookViewId="0">
      <selection activeCell="G22" sqref="G22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1E0F-4EE7-47A9-A262-88182179CC4A}">
  <dimension ref="A3:F54"/>
  <sheetViews>
    <sheetView workbookViewId="0">
      <selection activeCell="F29" sqref="F29"/>
    </sheetView>
  </sheetViews>
  <sheetFormatPr defaultRowHeight="15"/>
  <cols>
    <col min="1" max="1" width="27.7109375" bestFit="1" customWidth="1"/>
    <col min="2" max="2" width="44.85546875" bestFit="1" customWidth="1"/>
    <col min="3" max="3" width="31.28515625" bestFit="1" customWidth="1"/>
    <col min="6" max="6" width="36.5703125" bestFit="1" customWidth="1"/>
    <col min="7" max="7" width="44" bestFit="1" customWidth="1"/>
    <col min="8" max="8" width="30.7109375" bestFit="1" customWidth="1"/>
    <col min="9" max="9" width="36.5703125" bestFit="1" customWidth="1"/>
  </cols>
  <sheetData>
    <row r="3" spans="1:6">
      <c r="A3" s="4" t="s">
        <v>1</v>
      </c>
      <c r="B3" t="s">
        <v>64</v>
      </c>
      <c r="C3" t="s">
        <v>65</v>
      </c>
      <c r="E3" cm="1">
        <f t="array" ref="E3:F7">LINEST(B4:B53,C4:C53,TRUE,TRUE)</f>
        <v>3.2160086585494541</v>
      </c>
      <c r="F3">
        <v>109.99327461238346</v>
      </c>
    </row>
    <row r="4" spans="1:6">
      <c r="A4" t="s">
        <v>66</v>
      </c>
      <c r="B4" s="5">
        <v>31</v>
      </c>
      <c r="C4" s="5">
        <v>2.6</v>
      </c>
      <c r="E4">
        <v>3.7661241686033837</v>
      </c>
      <c r="F4">
        <v>19.301450663666166</v>
      </c>
    </row>
    <row r="5" spans="1:6">
      <c r="A5" t="s">
        <v>67</v>
      </c>
      <c r="B5" s="5">
        <v>45</v>
      </c>
      <c r="C5" s="5">
        <v>3.4</v>
      </c>
      <c r="E5">
        <v>1.4964282235980172E-2</v>
      </c>
      <c r="F5">
        <v>73.515071762777609</v>
      </c>
    </row>
    <row r="6" spans="1:6">
      <c r="A6" t="s">
        <v>68</v>
      </c>
      <c r="B6" s="5">
        <v>49</v>
      </c>
      <c r="C6" s="5">
        <v>3.6</v>
      </c>
      <c r="E6">
        <v>0.72919746398386376</v>
      </c>
      <c r="F6">
        <v>48</v>
      </c>
    </row>
    <row r="7" spans="1:6">
      <c r="A7" t="s">
        <v>69</v>
      </c>
      <c r="B7" s="5">
        <v>50</v>
      </c>
      <c r="C7" s="5">
        <v>2.2000000000000002</v>
      </c>
      <c r="E7">
        <v>3940.9227382555837</v>
      </c>
      <c r="F7">
        <v>259414.35726174439</v>
      </c>
    </row>
    <row r="8" spans="1:6">
      <c r="A8" t="s">
        <v>70</v>
      </c>
      <c r="B8" s="5">
        <v>57</v>
      </c>
      <c r="C8" s="5">
        <v>2.6</v>
      </c>
    </row>
    <row r="9" spans="1:6">
      <c r="A9" t="s">
        <v>71</v>
      </c>
      <c r="B9" s="5">
        <v>58</v>
      </c>
      <c r="C9" s="5">
        <v>8.9</v>
      </c>
    </row>
    <row r="10" spans="1:6">
      <c r="A10" t="s">
        <v>72</v>
      </c>
      <c r="B10" s="5">
        <v>60</v>
      </c>
      <c r="C10" s="5">
        <v>3.5</v>
      </c>
    </row>
    <row r="11" spans="1:6">
      <c r="A11" t="s">
        <v>73</v>
      </c>
      <c r="B11" s="5">
        <v>68</v>
      </c>
      <c r="C11" s="5">
        <v>3.5</v>
      </c>
    </row>
    <row r="12" spans="1:6">
      <c r="A12" t="s">
        <v>74</v>
      </c>
      <c r="B12" s="5">
        <v>79</v>
      </c>
      <c r="C12" s="5">
        <v>3.4</v>
      </c>
    </row>
    <row r="13" spans="1:6">
      <c r="A13" t="s">
        <v>75</v>
      </c>
      <c r="B13" s="5">
        <v>80</v>
      </c>
      <c r="C13" s="5">
        <v>3.2</v>
      </c>
    </row>
    <row r="14" spans="1:6">
      <c r="A14" t="s">
        <v>76</v>
      </c>
      <c r="B14" s="5">
        <v>81</v>
      </c>
      <c r="C14" s="5">
        <v>3</v>
      </c>
    </row>
    <row r="15" spans="1:6">
      <c r="A15" t="s">
        <v>77</v>
      </c>
      <c r="B15" s="5">
        <v>82</v>
      </c>
      <c r="C15" s="5">
        <v>3.8</v>
      </c>
    </row>
    <row r="16" spans="1:6">
      <c r="A16" t="s">
        <v>78</v>
      </c>
      <c r="B16" s="5">
        <v>82</v>
      </c>
      <c r="C16" s="5">
        <v>3.8</v>
      </c>
    </row>
    <row r="17" spans="1:6">
      <c r="A17" t="s">
        <v>79</v>
      </c>
      <c r="B17" s="5">
        <v>94</v>
      </c>
      <c r="C17" s="5">
        <v>4.3</v>
      </c>
    </row>
    <row r="18" spans="1:6">
      <c r="A18" t="s">
        <v>80</v>
      </c>
      <c r="B18" s="5">
        <v>98</v>
      </c>
      <c r="C18" s="5">
        <v>6.6</v>
      </c>
    </row>
    <row r="19" spans="1:6">
      <c r="A19" t="s">
        <v>81</v>
      </c>
      <c r="B19" s="5">
        <v>101</v>
      </c>
      <c r="C19" s="5">
        <v>12.2</v>
      </c>
    </row>
    <row r="20" spans="1:6">
      <c r="A20" t="s">
        <v>82</v>
      </c>
      <c r="B20" s="5">
        <v>103</v>
      </c>
      <c r="C20" s="5">
        <v>1.7</v>
      </c>
    </row>
    <row r="21" spans="1:6">
      <c r="A21" t="s">
        <v>83</v>
      </c>
      <c r="B21" s="5">
        <v>104</v>
      </c>
      <c r="C21" s="5">
        <v>4</v>
      </c>
    </row>
    <row r="22" spans="1:6">
      <c r="A22" t="s">
        <v>84</v>
      </c>
      <c r="B22" s="5">
        <v>104</v>
      </c>
      <c r="C22" s="5">
        <v>4.2</v>
      </c>
    </row>
    <row r="23" spans="1:6">
      <c r="A23" t="s">
        <v>85</v>
      </c>
      <c r="B23" s="5">
        <v>107</v>
      </c>
      <c r="C23" s="5">
        <v>2.1</v>
      </c>
    </row>
    <row r="24" spans="1:6">
      <c r="A24" t="s">
        <v>86</v>
      </c>
      <c r="B24" s="5">
        <v>108</v>
      </c>
      <c r="C24" s="5">
        <v>2.7</v>
      </c>
    </row>
    <row r="25" spans="1:6">
      <c r="A25" t="s">
        <v>87</v>
      </c>
      <c r="B25" s="5">
        <v>108</v>
      </c>
      <c r="C25" s="5">
        <v>2.6</v>
      </c>
    </row>
    <row r="26" spans="1:6">
      <c r="A26" t="s">
        <v>88</v>
      </c>
      <c r="B26" s="5">
        <v>110</v>
      </c>
      <c r="C26" s="5">
        <v>5.7</v>
      </c>
    </row>
    <row r="27" spans="1:6">
      <c r="A27" t="s">
        <v>89</v>
      </c>
      <c r="B27" s="5">
        <v>111</v>
      </c>
      <c r="C27" s="5">
        <v>3.5</v>
      </c>
    </row>
    <row r="28" spans="1:6">
      <c r="A28" t="s">
        <v>90</v>
      </c>
      <c r="B28" s="5">
        <v>111</v>
      </c>
      <c r="C28" s="5">
        <v>17.7</v>
      </c>
    </row>
    <row r="29" spans="1:6">
      <c r="A29" t="s">
        <v>91</v>
      </c>
      <c r="B29" s="5">
        <v>112</v>
      </c>
      <c r="C29" s="5">
        <v>5.5</v>
      </c>
      <c r="F29" s="1" t="s">
        <v>92</v>
      </c>
    </row>
    <row r="30" spans="1:6">
      <c r="A30" t="s">
        <v>93</v>
      </c>
      <c r="B30" s="5">
        <v>112</v>
      </c>
      <c r="C30" s="5">
        <v>3.1</v>
      </c>
    </row>
    <row r="31" spans="1:6">
      <c r="A31" t="s">
        <v>94</v>
      </c>
      <c r="B31" s="5">
        <v>118</v>
      </c>
      <c r="C31" s="5">
        <v>3.3</v>
      </c>
    </row>
    <row r="32" spans="1:6">
      <c r="A32" t="s">
        <v>95</v>
      </c>
      <c r="B32" s="5">
        <v>119</v>
      </c>
      <c r="C32" s="5">
        <v>2.2000000000000002</v>
      </c>
    </row>
    <row r="33" spans="1:3">
      <c r="A33" t="s">
        <v>96</v>
      </c>
      <c r="B33" s="5">
        <v>122</v>
      </c>
      <c r="C33" s="5">
        <v>3.5</v>
      </c>
    </row>
    <row r="34" spans="1:3">
      <c r="A34" t="s">
        <v>97</v>
      </c>
      <c r="B34" s="5">
        <v>123</v>
      </c>
      <c r="C34" s="5">
        <v>1.4</v>
      </c>
    </row>
    <row r="35" spans="1:3">
      <c r="A35" t="s">
        <v>98</v>
      </c>
      <c r="B35" s="5">
        <v>123</v>
      </c>
      <c r="C35" s="5">
        <v>2.4</v>
      </c>
    </row>
    <row r="36" spans="1:3">
      <c r="A36" t="s">
        <v>99</v>
      </c>
      <c r="B36" s="5">
        <v>124</v>
      </c>
      <c r="C36" s="5">
        <v>4.9000000000000004</v>
      </c>
    </row>
    <row r="37" spans="1:3">
      <c r="A37" t="s">
        <v>100</v>
      </c>
      <c r="B37" s="5">
        <v>125</v>
      </c>
      <c r="C37" s="5">
        <v>3.4</v>
      </c>
    </row>
    <row r="38" spans="1:3">
      <c r="A38" t="s">
        <v>101</v>
      </c>
      <c r="B38" s="5">
        <v>126</v>
      </c>
      <c r="C38" s="5">
        <v>2.2999999999999998</v>
      </c>
    </row>
    <row r="39" spans="1:3">
      <c r="A39" t="s">
        <v>102</v>
      </c>
      <c r="B39" s="5">
        <v>128</v>
      </c>
      <c r="C39" s="5">
        <v>5.2</v>
      </c>
    </row>
    <row r="40" spans="1:3">
      <c r="A40" t="s">
        <v>103</v>
      </c>
      <c r="B40" s="5">
        <v>131</v>
      </c>
      <c r="C40" s="5">
        <v>6.1</v>
      </c>
    </row>
    <row r="41" spans="1:3">
      <c r="A41" t="s">
        <v>104</v>
      </c>
      <c r="B41" s="5">
        <v>135</v>
      </c>
      <c r="C41" s="5">
        <v>7.3</v>
      </c>
    </row>
    <row r="42" spans="1:3">
      <c r="A42" t="s">
        <v>105</v>
      </c>
      <c r="B42" s="5">
        <v>136</v>
      </c>
      <c r="C42" s="5">
        <v>4.8</v>
      </c>
    </row>
    <row r="43" spans="1:3">
      <c r="A43" t="s">
        <v>106</v>
      </c>
      <c r="B43" s="5">
        <v>137</v>
      </c>
      <c r="C43" s="5">
        <v>2.5</v>
      </c>
    </row>
    <row r="44" spans="1:3">
      <c r="A44" t="s">
        <v>107</v>
      </c>
      <c r="B44" s="5">
        <v>138</v>
      </c>
      <c r="C44" s="5">
        <v>2.5</v>
      </c>
    </row>
    <row r="45" spans="1:3">
      <c r="A45" t="s">
        <v>108</v>
      </c>
      <c r="B45" s="5">
        <v>173</v>
      </c>
      <c r="C45" s="5">
        <v>6.9</v>
      </c>
    </row>
    <row r="46" spans="1:3">
      <c r="A46" t="s">
        <v>109</v>
      </c>
      <c r="B46" s="5">
        <v>175</v>
      </c>
      <c r="C46" s="5">
        <v>3.1</v>
      </c>
    </row>
    <row r="47" spans="1:3">
      <c r="A47" t="s">
        <v>110</v>
      </c>
      <c r="B47" s="5">
        <v>179</v>
      </c>
      <c r="C47" s="5">
        <v>2.2999999999999998</v>
      </c>
    </row>
    <row r="48" spans="1:3">
      <c r="A48" t="s">
        <v>111</v>
      </c>
      <c r="B48" s="5">
        <v>184</v>
      </c>
      <c r="C48" s="5">
        <v>2.4</v>
      </c>
    </row>
    <row r="49" spans="1:3">
      <c r="A49" t="s">
        <v>112</v>
      </c>
      <c r="B49" s="5">
        <v>191</v>
      </c>
      <c r="C49" s="5">
        <v>4.8</v>
      </c>
    </row>
    <row r="50" spans="1:3">
      <c r="A50" t="s">
        <v>113</v>
      </c>
      <c r="B50" s="5">
        <v>206</v>
      </c>
      <c r="C50" s="5">
        <v>6.4</v>
      </c>
    </row>
    <row r="51" spans="1:3">
      <c r="A51" t="s">
        <v>114</v>
      </c>
      <c r="B51" s="5">
        <v>237</v>
      </c>
      <c r="C51" s="5">
        <v>5.4</v>
      </c>
    </row>
    <row r="52" spans="1:3">
      <c r="A52" t="s">
        <v>115</v>
      </c>
      <c r="B52" s="5">
        <v>238</v>
      </c>
      <c r="C52" s="5">
        <v>2.7</v>
      </c>
    </row>
    <row r="53" spans="1:3">
      <c r="A53" t="s">
        <v>116</v>
      </c>
      <c r="B53" s="5">
        <v>521</v>
      </c>
      <c r="C53" s="5">
        <v>6.7</v>
      </c>
    </row>
    <row r="54" spans="1:3">
      <c r="A54" t="s">
        <v>117</v>
      </c>
      <c r="B54" s="5">
        <v>123.88</v>
      </c>
      <c r="C54" s="5">
        <v>4.3180000000000005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E1A9-37D1-4C00-8790-81B7FE7107F5}">
  <dimension ref="A1:I25"/>
  <sheetViews>
    <sheetView topLeftCell="A15" workbookViewId="0">
      <selection activeCell="D22" sqref="D22:I22"/>
    </sheetView>
  </sheetViews>
  <sheetFormatPr defaultRowHeight="15"/>
  <cols>
    <col min="1" max="1" width="27.7109375" bestFit="1" customWidth="1"/>
    <col min="2" max="2" width="37.5703125" bestFit="1" customWidth="1"/>
    <col min="3" max="3" width="11.42578125" bestFit="1" customWidth="1"/>
    <col min="4" max="4" width="36.5703125" bestFit="1" customWidth="1"/>
    <col min="5" max="5" width="11.28515625" bestFit="1" customWidth="1"/>
    <col min="6" max="6" width="14.140625" bestFit="1" customWidth="1"/>
    <col min="7" max="7" width="8.85546875" bestFit="1" customWidth="1"/>
    <col min="8" max="8" width="11.7109375" bestFit="1" customWidth="1"/>
    <col min="9" max="9" width="9.42578125" bestFit="1" customWidth="1"/>
    <col min="10" max="10" width="12.28515625" bestFit="1" customWidth="1"/>
    <col min="11" max="11" width="7" bestFit="1" customWidth="1"/>
    <col min="12" max="12" width="10" bestFit="1" customWidth="1"/>
    <col min="13" max="13" width="10.85546875" bestFit="1" customWidth="1"/>
    <col min="14" max="14" width="13.85546875" bestFit="1" customWidth="1"/>
    <col min="15" max="15" width="11.28515625" bestFit="1" customWidth="1"/>
    <col min="16" max="16" width="24.140625" customWidth="1"/>
    <col min="17" max="17" width="10.85546875" bestFit="1" customWidth="1"/>
    <col min="18" max="18" width="13.85546875" bestFit="1" customWidth="1"/>
    <col min="19" max="19" width="12.28515625" bestFit="1" customWidth="1"/>
    <col min="20" max="20" width="15.28515625" bestFit="1" customWidth="1"/>
    <col min="21" max="21" width="9.42578125" bestFit="1" customWidth="1"/>
    <col min="22" max="22" width="12.42578125" bestFit="1" customWidth="1"/>
    <col min="23" max="23" width="13.7109375" bestFit="1" customWidth="1"/>
    <col min="24" max="24" width="16.7109375" bestFit="1" customWidth="1"/>
    <col min="25" max="25" width="15.7109375" bestFit="1" customWidth="1"/>
    <col min="26" max="26" width="18.7109375" bestFit="1" customWidth="1"/>
    <col min="27" max="27" width="9.28515625" bestFit="1" customWidth="1"/>
    <col min="28" max="28" width="12.28515625" bestFit="1" customWidth="1"/>
    <col min="29" max="29" width="15.7109375" bestFit="1" customWidth="1"/>
    <col min="30" max="30" width="18.7109375" bestFit="1" customWidth="1"/>
    <col min="31" max="31" width="11.85546875" bestFit="1" customWidth="1"/>
    <col min="32" max="32" width="14.85546875" bestFit="1" customWidth="1"/>
    <col min="33" max="33" width="7" bestFit="1" customWidth="1"/>
    <col min="34" max="34" width="10" bestFit="1" customWidth="1"/>
    <col min="35" max="35" width="10.42578125" bestFit="1" customWidth="1"/>
    <col min="36" max="36" width="13.42578125" bestFit="1" customWidth="1"/>
    <col min="37" max="37" width="9.5703125" bestFit="1" customWidth="1"/>
    <col min="38" max="38" width="12.42578125" bestFit="1" customWidth="1"/>
    <col min="39" max="39" width="13.28515625" bestFit="1" customWidth="1"/>
    <col min="40" max="40" width="16.28515625" bestFit="1" customWidth="1"/>
    <col min="41" max="41" width="11.140625" bestFit="1" customWidth="1"/>
    <col min="42" max="42" width="14.140625" bestFit="1" customWidth="1"/>
    <col min="43" max="43" width="11.42578125" bestFit="1" customWidth="1"/>
  </cols>
  <sheetData>
    <row r="1" spans="1:2">
      <c r="A1" s="4" t="s">
        <v>11</v>
      </c>
      <c r="B1" t="s">
        <v>0</v>
      </c>
    </row>
    <row r="3" spans="1:2">
      <c r="A3" s="4" t="s">
        <v>1</v>
      </c>
      <c r="B3" t="s">
        <v>118</v>
      </c>
    </row>
    <row r="4" spans="1:2">
      <c r="A4" t="s">
        <v>81</v>
      </c>
      <c r="B4" s="8">
        <v>6500</v>
      </c>
    </row>
    <row r="5" spans="1:2">
      <c r="A5" t="s">
        <v>71</v>
      </c>
      <c r="B5" s="8">
        <v>9700</v>
      </c>
    </row>
    <row r="6" spans="1:2">
      <c r="A6" t="s">
        <v>73</v>
      </c>
      <c r="B6" s="8">
        <v>9900</v>
      </c>
    </row>
    <row r="7" spans="1:2">
      <c r="A7" t="s">
        <v>74</v>
      </c>
      <c r="B7" s="8">
        <v>13700</v>
      </c>
    </row>
    <row r="8" spans="1:2">
      <c r="A8" t="s">
        <v>112</v>
      </c>
      <c r="B8" s="8">
        <v>19900</v>
      </c>
    </row>
    <row r="9" spans="1:2">
      <c r="A9" t="s">
        <v>76</v>
      </c>
      <c r="B9" s="8">
        <v>27700</v>
      </c>
    </row>
    <row r="10" spans="1:2">
      <c r="A10" t="s">
        <v>68</v>
      </c>
      <c r="B10" s="8">
        <v>32400</v>
      </c>
    </row>
    <row r="11" spans="1:2">
      <c r="A11" t="s">
        <v>89</v>
      </c>
      <c r="B11" s="8">
        <v>36200</v>
      </c>
    </row>
    <row r="12" spans="1:2">
      <c r="A12" t="s">
        <v>66</v>
      </c>
      <c r="B12" s="8">
        <v>42900</v>
      </c>
    </row>
    <row r="13" spans="1:2">
      <c r="A13" t="s">
        <v>80</v>
      </c>
      <c r="B13" s="8">
        <v>45600</v>
      </c>
    </row>
    <row r="14" spans="1:2">
      <c r="A14" t="s">
        <v>99</v>
      </c>
      <c r="B14" s="8">
        <v>48900</v>
      </c>
    </row>
    <row r="15" spans="1:2">
      <c r="A15" t="s">
        <v>87</v>
      </c>
      <c r="B15" s="8">
        <v>51900</v>
      </c>
    </row>
    <row r="16" spans="1:2">
      <c r="A16" t="s">
        <v>101</v>
      </c>
      <c r="B16" s="8">
        <v>54400</v>
      </c>
    </row>
    <row r="17" spans="1:9">
      <c r="A17" t="s">
        <v>77</v>
      </c>
      <c r="B17" s="8">
        <v>65100</v>
      </c>
    </row>
    <row r="18" spans="1:9">
      <c r="A18" t="s">
        <v>78</v>
      </c>
      <c r="B18" s="8">
        <v>66200</v>
      </c>
    </row>
    <row r="19" spans="1:9">
      <c r="A19" t="s">
        <v>70</v>
      </c>
      <c r="B19" s="8">
        <v>67500</v>
      </c>
    </row>
    <row r="20" spans="1:9">
      <c r="A20" t="s">
        <v>72</v>
      </c>
      <c r="B20" s="8">
        <v>75900</v>
      </c>
    </row>
    <row r="21" spans="1:9">
      <c r="A21" t="s">
        <v>84</v>
      </c>
      <c r="B21" s="8">
        <v>77900</v>
      </c>
    </row>
    <row r="22" spans="1:9">
      <c r="A22" t="s">
        <v>69</v>
      </c>
      <c r="B22" s="8">
        <v>89300</v>
      </c>
      <c r="D22" s="9" t="s">
        <v>119</v>
      </c>
      <c r="E22" s="9"/>
      <c r="F22" s="9"/>
      <c r="G22" s="9"/>
      <c r="H22" s="9"/>
      <c r="I22" s="9"/>
    </row>
    <row r="23" spans="1:9">
      <c r="A23" t="s">
        <v>67</v>
      </c>
      <c r="B23" s="8">
        <v>105500</v>
      </c>
    </row>
    <row r="24" spans="1:9">
      <c r="A24" t="s">
        <v>110</v>
      </c>
      <c r="B24" s="8">
        <v>345400</v>
      </c>
    </row>
    <row r="25" spans="1:9">
      <c r="A25" t="s">
        <v>117</v>
      </c>
      <c r="B25" s="8">
        <v>1292500</v>
      </c>
    </row>
  </sheetData>
  <mergeCells count="1">
    <mergeCell ref="D22:I22"/>
  </mergeCells>
  <conditionalFormatting pivot="1" sqref="B4:B2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654-A982-4543-B604-017F22FE5058}">
  <dimension ref="A3:B6"/>
  <sheetViews>
    <sheetView workbookViewId="0">
      <selection activeCell="L7" sqref="L7"/>
    </sheetView>
  </sheetViews>
  <sheetFormatPr defaultRowHeight="15"/>
  <cols>
    <col min="1" max="1" width="26.28515625" bestFit="1" customWidth="1"/>
    <col min="2" max="2" width="31.28515625" bestFit="1" customWidth="1"/>
  </cols>
  <sheetData>
    <row r="3" spans="1:2">
      <c r="A3" s="4" t="s">
        <v>11</v>
      </c>
      <c r="B3" t="s">
        <v>65</v>
      </c>
    </row>
    <row r="4" spans="1:2">
      <c r="A4" t="s">
        <v>13</v>
      </c>
      <c r="B4" s="5">
        <v>4.4206896551724144</v>
      </c>
    </row>
    <row r="5" spans="1:2">
      <c r="A5" t="s">
        <v>0</v>
      </c>
      <c r="B5" s="5">
        <v>4.1761904761904765</v>
      </c>
    </row>
    <row r="6" spans="1:2">
      <c r="A6" t="s">
        <v>117</v>
      </c>
      <c r="B6" s="5">
        <v>4.3180000000000005</v>
      </c>
    </row>
  </sheetData>
  <conditionalFormatting pivot="1" sqref="B4:B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4:B5">
    <cfRule type="colorScale" priority="2">
      <colorScale>
        <cfvo type="min"/>
        <cfvo type="max"/>
        <color rgb="FF63BE7B"/>
        <color rgb="FFFCFCFF"/>
      </colorScale>
    </cfRule>
  </conditionalFormatting>
  <conditionalFormatting pivot="1" sqref="B4:B5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2025-11-05T16:27:04Z</dcterms:created>
  <dcterms:modified xsi:type="dcterms:W3CDTF">2025-11-10T21:32:57Z</dcterms:modified>
  <cp:category/>
  <cp:contentStatus/>
</cp:coreProperties>
</file>